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ventario Químicos" sheetId="2" state="visible" r:id="rId4"/>
    <sheet name="Auditoría Contractual" sheetId="3" state="visible" r:id="rId5"/>
    <sheet name="Baseline (Acta Precios)" sheetId="4" state="visible" r:id="rId6"/>
    <sheet name="Benchmarking" sheetId="5" state="visible" r:id="rId7"/>
    <sheet name="Histórico Precios" sheetId="6" state="visible" r:id="rId8"/>
    <sheet name="Visita Planta" sheetId="7" state="visible" r:id="rId9"/>
    <sheet name="Proveedores" sheetId="8" state="visible" r:id="rId10"/>
  </sheets>
  <definedNames>
    <definedName function="false" hidden="true" localSheetId="1" name="_xlnm._FilterDatabase" vbProcedure="false">'Inventario Químicos'!$A$4:$AB$54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<sst xmlns="http://schemas.openxmlformats.org/spreadsheetml/2006/main" count="306" uniqueCount="280">
  <si>
    <t xml:space="preserve">DASHBOARD — RESUMEN EJECUTIVO DEL PROYECTO</t>
  </si>
  <si>
    <t xml:space="preserve">Se alimenta automáticamente de las demás hojas</t>
  </si>
  <si>
    <t xml:space="preserve">INDICADOR</t>
  </si>
  <si>
    <t xml:space="preserve">VALOR</t>
  </si>
  <si>
    <t xml:space="preserve">Gasto Total Anual en Químicos (€)</t>
  </si>
  <si>
    <t xml:space="preserve">Nº de Productos</t>
  </si>
  <si>
    <t xml:space="preserve">Nº de Proveedores</t>
  </si>
  <si>
    <t xml:space="preserve">Nº Productos Precio Fijo</t>
  </si>
  <si>
    <t xml:space="preserve">Nº Productos Precio Indexado</t>
  </si>
  <si>
    <t xml:space="preserve">Nº Productos Spot (sin contrato)</t>
  </si>
  <si>
    <t xml:space="preserve">Potencial Ahorro Total Teórico (€)</t>
  </si>
  <si>
    <t xml:space="preserve">Potencial Ahorro (% sobre gasto)</t>
  </si>
  <si>
    <t xml:space="preserve">DISTRIBUCIÓN POR CLASIFICACIÓN (Pareto)</t>
  </si>
  <si>
    <t xml:space="preserve">Clasificación</t>
  </si>
  <si>
    <t xml:space="preserve">Nº Productos</t>
  </si>
  <si>
    <t xml:space="preserve">Gasto (€)</t>
  </si>
  <si>
    <t xml:space="preserve">% del Total</t>
  </si>
  <si>
    <t xml:space="preserve">Commodity</t>
  </si>
  <si>
    <t xml:space="preserve">Semi-especialidad</t>
  </si>
  <si>
    <t xml:space="preserve">Especialidad</t>
  </si>
  <si>
    <t xml:space="preserve">DISTRIBUCIÓN POR FORMATO DE ENVASE</t>
  </si>
  <si>
    <t xml:space="preserve">Formato</t>
  </si>
  <si>
    <t xml:space="preserve">Oportunidad cambio formato</t>
  </si>
  <si>
    <t xml:space="preserve">Bidón/Garrafa</t>
  </si>
  <si>
    <t xml:space="preserve">IBC 1000L</t>
  </si>
  <si>
    <t xml:space="preserve">Contenedor 20-24tm</t>
  </si>
  <si>
    <t xml:space="preserve">Cisterna</t>
  </si>
  <si>
    <t xml:space="preserve">SALUD CONTRACTUAL (de Auditoría Contractual)</t>
  </si>
  <si>
    <t xml:space="preserve">Condición</t>
  </si>
  <si>
    <t xml:space="preserve">Nº Casos</t>
  </si>
  <si>
    <t xml:space="preserve">Nivel de riesgo</t>
  </si>
  <si>
    <t xml:space="preserve">Proveedores sin contrato formal</t>
  </si>
  <si>
    <t xml:space="preserve">A revisar</t>
  </si>
  <si>
    <t xml:space="preserve">Contratos con take-or-pay rígido</t>
  </si>
  <si>
    <t xml:space="preserve">Riesgo alto</t>
  </si>
  <si>
    <t xml:space="preserve">Fórmulas de revisión asimétricas</t>
  </si>
  <si>
    <t xml:space="preserve">Riesgo medio</t>
  </si>
  <si>
    <t xml:space="preserve">Rappels existentes NO cobrados</t>
  </si>
  <si>
    <t xml:space="preserve">Ahorro inmediato</t>
  </si>
  <si>
    <t xml:space="preserve">Sin cláusula de salida</t>
  </si>
  <si>
    <t xml:space="preserve">INSTRUCCIONES DE USO</t>
  </si>
  <si>
    <t xml:space="preserve">1. INVENTARIO QUÍMICOS: Completar todos los productos. Las fórmulas calculan €/kg materia activa, gap vs benchmark y potencial de ahorro.</t>
  </si>
  <si>
    <t xml:space="preserve">2. AUDITORÍA CONTRACTUAL: Para cada proveedor, auditar TODAS las condiciones (Cap.6): pago, duración, volumen, revisión, rappels, envases, servicio.</t>
  </si>
  <si>
    <t xml:space="preserve">3. BASELINE (ACTA PRECIOS): Completar y FIRMAR antes del primer RFQ. Es la base legal del success fee.</t>
  </si>
  <si>
    <t xml:space="preserve">4. BENCHMARKING: Solicitar 3 cotizaciones DAP + DataComex + ICIS. Comparar con precio cliente normalizado.</t>
  </si>
  <si>
    <t xml:space="preserve">5. HISTÓRICO PRECIOS: 24 meses de facturas. La media ponderada 12m es el baseline estándar.</t>
  </si>
  <si>
    <t xml:space="preserve">6. VISITA PLANTA: Usar el checklist durante la visita. Completar el informe el MISMO DÍA.</t>
  </si>
  <si>
    <t xml:space="preserve">7. PROVEEDORES: Registro de contactos. Incluye distribuidores españoles de referencia del Manual.</t>
  </si>
  <si>
    <t xml:space="preserve">8. DASHBOARD: Se calcula automáticamente. Completar manualmente los campos de entrada restantes.</t>
  </si>
  <si>
    <t xml:space="preserve">REGLA DE ORO: No cambiamos el mecanismo de precio (Cap.4.4). Fijo→mejor fijo. Indexado→menor prima.</t>
  </si>
  <si>
    <t xml:space="preserve">Celdas AMARILLAS con texto AZUL = campos de entrada. Celdas BLANCAS con texto NEGRO = fórmulas (no tocar).</t>
  </si>
  <si>
    <t xml:space="preserve">INVENTARIO DE PRODUCTOS QUÍMICOS</t>
  </si>
  <si>
    <t xml:space="preserve">Herramienta de recogida de datos — Modelo ERA Group success fee</t>
  </si>
  <si>
    <t xml:space="preserve">IDENTIFICACIÓN DEL PRODUCTO</t>
  </si>
  <si>
    <t xml:space="preserve">PROVEEDOR Y MECANISMO</t>
  </si>
  <si>
    <t xml:space="preserve">FORMATO</t>
  </si>
  <si>
    <t xml:space="preserve">ANÁLISIS DE PRECIO (Cap.3)</t>
  </si>
  <si>
    <t xml:space="preserve">CONSUMO</t>
  </si>
  <si>
    <t xml:space="preserve">PARETO</t>
  </si>
  <si>
    <t xml:space="preserve">INDEXADOS (Cap.4)</t>
  </si>
  <si>
    <t xml:space="preserve">BENCHMARKING (Cap.7)</t>
  </si>
  <si>
    <t xml:space="preserve">PLANTA</t>
  </si>
  <si>
    <t xml:space="preserve">Nº</t>
  </si>
  <si>
    <t xml:space="preserve">Familia</t>
  </si>
  <si>
    <t xml:space="preserve">Nombre Comercial</t>
  </si>
  <si>
    <t xml:space="preserve">Principio Activo</t>
  </si>
  <si>
    <t xml:space="preserve">Concentración (%)</t>
  </si>
  <si>
    <t xml:space="preserve">Calidad / Grado</t>
  </si>
  <si>
    <t xml:space="preserve">Código TARIC</t>
  </si>
  <si>
    <t xml:space="preserve">Aplicación / Uso</t>
  </si>
  <si>
    <t xml:space="preserve">Proveedor Actual</t>
  </si>
  <si>
    <t xml:space="preserve">Fabricante</t>
  </si>
  <si>
    <t xml:space="preserve">Tipo Precio</t>
  </si>
  <si>
    <t xml:space="preserve">Formato Envase</t>
  </si>
  <si>
    <t xml:space="preserve">Capacidad (kg/L)</t>
  </si>
  <si>
    <t xml:space="preserve">Precio Producto (€/kg)</t>
  </si>
  <si>
    <t xml:space="preserve">Coste Transporte (€/kg)</t>
  </si>
  <si>
    <t xml:space="preserve">Incoterm</t>
  </si>
  <si>
    <t xml:space="preserve">€/kg Materia Activa</t>
  </si>
  <si>
    <t xml:space="preserve">€/kg MA + Transporte</t>
  </si>
  <si>
    <t xml:space="preserve">Consumo Anual (kg MA)</t>
  </si>
  <si>
    <t xml:space="preserve">Gasto Anual (€)</t>
  </si>
  <si>
    <t xml:space="preserve">% Acumulado Pareto</t>
  </si>
  <si>
    <t xml:space="preserve">Índice ICIS (si aplica)</t>
  </si>
  <si>
    <t xml:space="preserve">Prima (€/tm)</t>
  </si>
  <si>
    <t xml:space="preserve">Precio Benchmark (€/kg MA)</t>
  </si>
  <si>
    <t xml:space="preserve">Gap vs Benchmark (%)</t>
  </si>
  <si>
    <t xml:space="preserve">Potencial Ahorro (€)</t>
  </si>
  <si>
    <t xml:space="preserve">Notas Visita Planta</t>
  </si>
  <si>
    <t xml:space="preserve">TOTALES</t>
  </si>
  <si>
    <t xml:space="preserve">LEYENDA: Celdas amarillas = campos de entrada (rellenar). Celdas blancas = fórmulas automáticas (no modificar). €/kg MA = precio normalizado por materia activa (Cap.3 del manual).</t>
  </si>
  <si>
    <t xml:space="preserve">PRECIO: Introducir siempre el precio del producto tal cual se factura (€/kg producto). La fórmula calcula €/kg de materia activa automáticamente.</t>
  </si>
  <si>
    <t xml:space="preserve">TRANSPORTE: Si el Incoterm es DAP/DDP, dejar transporte en blanco (ya incluido). Si es EXW/FCA, introducir el coste de transporte por kg.</t>
  </si>
  <si>
    <t xml:space="preserve">AUDITORÍA DE CONDICIONES CONTRACTUALES</t>
  </si>
  <si>
    <t xml:space="preserve">Capítulo 6 del Manual — Revisar CADA relación proveedor-producto</t>
  </si>
  <si>
    <t xml:space="preserve">A) CONDICIONES CONTRACTUALES POR PROVEEDOR</t>
  </si>
  <si>
    <t xml:space="preserve">Proveedor</t>
  </si>
  <si>
    <t xml:space="preserve">Producto(s) Principal(es)</t>
  </si>
  <si>
    <t xml:space="preserve">Plazo Pago (días)</t>
  </si>
  <si>
    <t xml:space="preserve">Dto. Pronto Pago (%)</t>
  </si>
  <si>
    <t xml:space="preserve">¿Compensa PP?</t>
  </si>
  <si>
    <t xml:space="preserve">Duración Contrato</t>
  </si>
  <si>
    <t xml:space="preserve">Vencimiento</t>
  </si>
  <si>
    <t xml:space="preserve">Cláusula Salida</t>
  </si>
  <si>
    <t xml:space="preserve">Tipo Volumen</t>
  </si>
  <si>
    <t xml:space="preserve">Vol. Referencia (tm/año)</t>
  </si>
  <si>
    <t xml:space="preserve">Banda Mínima (%)</t>
  </si>
  <si>
    <t xml:space="preserve">Banda Máxima (%)</t>
  </si>
  <si>
    <t xml:space="preserve">Penalización Take-or-Pay</t>
  </si>
  <si>
    <t xml:space="preserve">Fórmula Revisión Precios</t>
  </si>
  <si>
    <t xml:space="preserve">Simétrica (Sí/No)</t>
  </si>
  <si>
    <t xml:space="preserve">B) CONDICIONES LOGÍSTICAS, SERVICIO Y ENVASES</t>
  </si>
  <si>
    <t xml:space="preserve">Producto</t>
  </si>
  <si>
    <t xml:space="preserve">Formato Actual</t>
  </si>
  <si>
    <t xml:space="preserve">Formato Óptimo</t>
  </si>
  <si>
    <t xml:space="preserve">¿Stock Consigna?</t>
  </si>
  <si>
    <t xml:space="preserve">Rappel Existente</t>
  </si>
  <si>
    <t xml:space="preserve">¿Rappel Cobrado?</t>
  </si>
  <si>
    <t xml:space="preserve">Servicio Técnico Incluido</t>
  </si>
  <si>
    <t xml:space="preserve">Equipos en Comodato</t>
  </si>
  <si>
    <t xml:space="preserve">Gestión Envases Vacíos</t>
  </si>
  <si>
    <t xml:space="preserve">Cláusula MFN</t>
  </si>
  <si>
    <t xml:space="preserve">Observaciones</t>
  </si>
  <si>
    <t xml:space="preserve">C) SCORING RESUMEN — ESTADO DE CONDICIONES POR PROVEEDOR</t>
  </si>
  <si>
    <t xml:space="preserve">Puntuar cada condición: 1=Mal (riesgo/sobrecoste) · 2=Mejorable · 3=Aceptable · 4=Bien negociado. Media &lt;2.5 = prioridad alta de renegociación.</t>
  </si>
  <si>
    <t xml:space="preserve">Pago</t>
  </si>
  <si>
    <t xml:space="preserve">Duración</t>
  </si>
  <si>
    <t xml:space="preserve">Volumen</t>
  </si>
  <si>
    <t xml:space="preserve">Revisión Precios</t>
  </si>
  <si>
    <t xml:space="preserve">Logística</t>
  </si>
  <si>
    <t xml:space="preserve">Rappels</t>
  </si>
  <si>
    <t xml:space="preserve">Envases</t>
  </si>
  <si>
    <t xml:space="preserve">Servicio</t>
  </si>
  <si>
    <t xml:space="preserve">MEDIA</t>
  </si>
  <si>
    <t xml:space="preserve">ACTA DE PRECIOS DE REFERENCIA (BASELINE)</t>
  </si>
  <si>
    <t xml:space="preserve">Este documento establece el precio de referencia verificado para cada producto. Es la base del cálculo del ahorro y del success fee de ERA.</t>
  </si>
  <si>
    <t xml:space="preserve">Materia Activa</t>
  </si>
  <si>
    <t xml:space="preserve">Periodo Cálculo</t>
  </si>
  <si>
    <t xml:space="preserve">Precio Pagado (€/kg prod.)</t>
  </si>
  <si>
    <t xml:space="preserve">€/kg Materia Activa (baseline)</t>
  </si>
  <si>
    <t xml:space="preserve">Prima Actual (€/tm)
(solo indexados)</t>
  </si>
  <si>
    <t xml:space="preserve">Índice ICIS Referencia
(solo indexados)</t>
  </si>
  <si>
    <t xml:space="preserve">Fórmula Cálculo Ahorro</t>
  </si>
  <si>
    <t xml:space="preserve">Fuente Verificación</t>
  </si>
  <si>
    <t xml:space="preserve">FIRMAS DE CONFORMIDAD</t>
  </si>
  <si>
    <t xml:space="preserve">Ambas partes confirman que los precios de referencia arriba indicados reflejan fielmente los precios pagados en el periodo de cálculo y aceptan estos como baseline para el cálculo del ahorro del proyecto.</t>
  </si>
  <si>
    <t xml:space="preserve">Por el Cliente: ________________________     Cargo: ________________________     Fecha: ___/___/______</t>
  </si>
  <si>
    <t xml:space="preserve">Por ERA Group: ________________________     Cargo: ________________________     Fecha: ___/___/______</t>
  </si>
  <si>
    <t xml:space="preserve">CLÁUSULA: Para productos con precio fijo, el ahorro = (Baseline − Precio nuevo) × Volumen real 12 meses. Para productos indexados, el ahorro = (Prima anterior − Prima nueva) × Volumen real. Cambios de mecanismo de precio (fijo→indexado o viceversa) NO computan para el success fee (Cap. 4.4 del Manual).</t>
  </si>
  <si>
    <t xml:space="preserve">ANÁLISIS COMPARATIVO DE PRECIOS DE MERCADO</t>
  </si>
  <si>
    <t xml:space="preserve">Capítulo 7 del Manual — Fuentes España + Internacionales</t>
  </si>
  <si>
    <t xml:space="preserve">Precio Cliente
(€/kg MA)</t>
  </si>
  <si>
    <t xml:space="preserve">Cotiz. 1
Distribuidor</t>
  </si>
  <si>
    <t xml:space="preserve">Cotiz. 2
Distribuidor</t>
  </si>
  <si>
    <t xml:space="preserve">Cotiz. 3
Distribuidor</t>
  </si>
  <si>
    <t xml:space="preserve">Media Cotiz.
(€/kg MA)</t>
  </si>
  <si>
    <t xml:space="preserve">DataComex
CIF Import (€/kg)</t>
  </si>
  <si>
    <t xml:space="preserve">CIF + Margen
(puesto planta)</t>
  </si>
  <si>
    <t xml:space="preserve">ICIS Index
(€/tm)</t>
  </si>
  <si>
    <t xml:space="preserve">ICIS + Prima
(€/kg MA)</t>
  </si>
  <si>
    <t xml:space="preserve">Precio Fabricante
Directo (€/kg MA)</t>
  </si>
  <si>
    <t xml:space="preserve">Mejor Benchmark
(€/kg MA)</t>
  </si>
  <si>
    <t xml:space="preserve">Gap Cliente vs
Benchmark (%)</t>
  </si>
  <si>
    <t xml:space="preserve">Ahorro Potencial
(€/año)</t>
  </si>
  <si>
    <t xml:space="preserve">Fuente / Notas</t>
  </si>
  <si>
    <t xml:space="preserve">PROTOCOLO (Cap.7.4): 1) Clasificar Pareto → 2) Commodities: DataComex TARIC → 3) Solicitar 3 cotiz. DAP → 4) Verificar prima ICIS → 5) Especialidades: cotizaciones fabricantes → 6) Tabla gap = potencial.</t>
  </si>
  <si>
    <t xml:space="preserve">CÓDIGOS TARIC: NaOH líquida=2815.12 | NaOH sólida=2815.11 | HCl=2806.10 | Hipocloritos=2828.90 | Tensoactivos=3402 | Preparaciones químicas=3824.90 | Floculantes=3906.90</t>
  </si>
  <si>
    <t xml:space="preserve">HISTÓRICO DE PRECIOS — 24 MESES</t>
  </si>
  <si>
    <t xml:space="preserve">Introducir precios de facturas reales. Usar €/kg de materia activa normalizado.</t>
  </si>
  <si>
    <t xml:space="preserve">Ene-24</t>
  </si>
  <si>
    <t xml:space="preserve">Feb-24</t>
  </si>
  <si>
    <t xml:space="preserve">Mar-24</t>
  </si>
  <si>
    <t xml:space="preserve">Abr-24</t>
  </si>
  <si>
    <t xml:space="preserve">May-24</t>
  </si>
  <si>
    <t xml:space="preserve">Jun-24</t>
  </si>
  <si>
    <t xml:space="preserve">Jul-24</t>
  </si>
  <si>
    <t xml:space="preserve">Ago-24</t>
  </si>
  <si>
    <t xml:space="preserve">Sep-24</t>
  </si>
  <si>
    <t xml:space="preserve">Oct-24</t>
  </si>
  <si>
    <t xml:space="preserve">Nov-24</t>
  </si>
  <si>
    <t xml:space="preserve">Dic-24</t>
  </si>
  <si>
    <t xml:space="preserve">Ene-25</t>
  </si>
  <si>
    <t xml:space="preserve">Feb-25</t>
  </si>
  <si>
    <t xml:space="preserve">Mar-25</t>
  </si>
  <si>
    <t xml:space="preserve">Abr-25</t>
  </si>
  <si>
    <t xml:space="preserve">May-25</t>
  </si>
  <si>
    <t xml:space="preserve">Jun-25</t>
  </si>
  <si>
    <t xml:space="preserve">Jul-25</t>
  </si>
  <si>
    <t xml:space="preserve">Ago-25</t>
  </si>
  <si>
    <t xml:space="preserve">Sep-25</t>
  </si>
  <si>
    <t xml:space="preserve">Oct-25</t>
  </si>
  <si>
    <t xml:space="preserve">Nov-25</t>
  </si>
  <si>
    <t xml:space="preserve">Dic-25</t>
  </si>
  <si>
    <t xml:space="preserve">Media Pond. 12m
(Baseline)</t>
  </si>
  <si>
    <t xml:space="preserve">Var. 24m (%)</t>
  </si>
  <si>
    <t xml:space="preserve">CHECKLIST DE VISITA A PLANTA</t>
  </si>
  <si>
    <t xml:space="preserve">Sección 1.4 del Manual — Completar el mismo día de la visita</t>
  </si>
  <si>
    <t xml:space="preserve">Cliente:</t>
  </si>
  <si>
    <t xml:space="preserve">Planta/Centro:</t>
  </si>
  <si>
    <t xml:space="preserve">Fecha visita:</t>
  </si>
  <si>
    <t xml:space="preserve">Acompañante(s):</t>
  </si>
  <si>
    <t xml:space="preserve">Consultor:</t>
  </si>
  <si>
    <t xml:space="preserve">Punto de inspección</t>
  </si>
  <si>
    <t xml:space="preserve">Estado
(✓/✗/N/A)</t>
  </si>
  <si>
    <t xml:space="preserve">Observaciones / Detalle</t>
  </si>
  <si>
    <t xml:space="preserve">Foto
(Sí/No)</t>
  </si>
  <si>
    <t xml:space="preserve">Oportunidad detectada</t>
  </si>
  <si>
    <t xml:space="preserve">Impacto estimado
(€/año)</t>
  </si>
  <si>
    <t xml:space="preserve">ZONA DE RECEPCIÓN Y DESCARGA</t>
  </si>
  <si>
    <t xml:space="preserve">¿Cómo llegan los productos? (cisterna/IBC/bidón)</t>
  </si>
  <si>
    <t xml:space="preserve">¿Hay zona cubierta y rampa de descarga?</t>
  </si>
  <si>
    <t xml:space="preserve">¿Báscula en recepción para verificar pesos?</t>
  </si>
  <si>
    <t xml:space="preserve">Frecuencia de entregas (diaria/semanal/mensual)</t>
  </si>
  <si>
    <t xml:space="preserve">¿Llegan varios proveedores para mismo producto?</t>
  </si>
  <si>
    <t xml:space="preserve">ALMACÉN DE QUÍMICOS</t>
  </si>
  <si>
    <t xml:space="preserve">¿Bidones/IBCs a medio usar?</t>
  </si>
  <si>
    <t xml:space="preserve">¿Productos caducados o etiqueta deteriorada?</t>
  </si>
  <si>
    <t xml:space="preserve">¿Duplicidades (2+ productos para misma función)?</t>
  </si>
  <si>
    <t xml:space="preserve">Marcas premium donde podría usar genérico</t>
  </si>
  <si>
    <t xml:space="preserve">Formato envase inadecuado (bidón cuando debería ser granel)</t>
  </si>
  <si>
    <t xml:space="preserve">¿Depósitos de granel vacíos o infrautilizados?</t>
  </si>
  <si>
    <t xml:space="preserve">Nivel de stock (¿semanas o meses de inventario?)</t>
  </si>
  <si>
    <t xml:space="preserve">Orden y segregación por compatibilidad química</t>
  </si>
  <si>
    <t xml:space="preserve">¿Cubeto de retención y FDS disponibles?</t>
  </si>
  <si>
    <t xml:space="preserve">ZONA DE DOSIFICACIÓN / PREPARACIÓN</t>
  </si>
  <si>
    <t xml:space="preserve">Equipos de dosificación: ¿automáticos o manuales?</t>
  </si>
  <si>
    <t xml:space="preserve">¿Calibración reciente de dosificadores?</t>
  </si>
  <si>
    <t xml:space="preserve">¿Caudalímetro instalado?</t>
  </si>
  <si>
    <t xml:space="preserve">Diluciones: ¿en planta o compran ya diluido?</t>
  </si>
  <si>
    <t xml:space="preserve">Equipos en comodato del proveedor (marca/modelo)</t>
  </si>
  <si>
    <t xml:space="preserve">Fugas, derrames, costras de producto en válvulas</t>
  </si>
  <si>
    <t xml:space="preserve">Sobredosificación «por seguridad»</t>
  </si>
  <si>
    <t xml:space="preserve">PROCESO PRODUCTIVO (OBSERVAR)</t>
  </si>
  <si>
    <t xml:space="preserve">Puntos de inyección de químicos identificados</t>
  </si>
  <si>
    <t xml:space="preserve">Consumo de agua en aclarados/lavados/CIP</t>
  </si>
  <si>
    <t xml:space="preserve">Calidad agua entrada (red/pozo/río, dureza)</t>
  </si>
  <si>
    <t xml:space="preserve">¿Descalcificador instalado?</t>
  </si>
  <si>
    <t xml:space="preserve">EDAR / ZONA DE RESIDUOS</t>
  </si>
  <si>
    <t xml:space="preserve">¿Tiene EDAR propia? Tipo de tratamiento</t>
  </si>
  <si>
    <t xml:space="preserve">Químicos EDAR: floculante, coagulante, corrector pH</t>
  </si>
  <si>
    <t xml:space="preserve">Deshidratación de lodos: tipo y dosis floculante</t>
  </si>
  <si>
    <t xml:space="preserve">Acumulación de envases vacíos: cantidad y gestión</t>
  </si>
  <si>
    <t xml:space="preserve">CONVERSACIONES CON OPERARIOS</t>
  </si>
  <si>
    <t xml:space="preserve">¿Productos que dan problemas?</t>
  </si>
  <si>
    <t xml:space="preserve">¿Dosificación estandarizada o «a ojo»?</t>
  </si>
  <si>
    <t xml:space="preserve">¿Roturas de stock / pedidos urgentes frecuentes?</t>
  </si>
  <si>
    <t xml:space="preserve">¿Cambios de producto recientes? ¿Resultado?</t>
  </si>
  <si>
    <t xml:space="preserve">¿Proveedores con buen/mal servicio?</t>
  </si>
  <si>
    <t xml:space="preserve">¿Algo que facilitaría su trabajo con químicos?</t>
  </si>
  <si>
    <t xml:space="preserve">RESUMEN DE OPORTUNIDADES DETECTADAS</t>
  </si>
  <si>
    <t xml:space="preserve">Oportunidad</t>
  </si>
  <si>
    <t xml:space="preserve">Tipo
(precio/formato/proceso/logística)</t>
  </si>
  <si>
    <t xml:space="preserve">Producto(s) afectado(s)</t>
  </si>
  <si>
    <t xml:space="preserve">Ahorro estimado
(€/año)</t>
  </si>
  <si>
    <t xml:space="preserve">Dificultad
(Baja/Media/Alta)</t>
  </si>
  <si>
    <t xml:space="preserve">Prioridad
(1-5)</t>
  </si>
  <si>
    <t xml:space="preserve">REGISTRO DE PROVEEDORES</t>
  </si>
  <si>
    <t xml:space="preserve">Datos de contacto y clasificación</t>
  </si>
  <si>
    <t xml:space="preserve">Tipo
(Fabricante/Distribuidor)</t>
  </si>
  <si>
    <t xml:space="preserve">Productos Suministrados</t>
  </si>
  <si>
    <t xml:space="preserve">Contacto Comercial</t>
  </si>
  <si>
    <t xml:space="preserve">Email</t>
  </si>
  <si>
    <t xml:space="preserve">Teléfono</t>
  </si>
  <si>
    <t xml:space="preserve">Web</t>
  </si>
  <si>
    <t xml:space="preserve">Cobertura Geográfica</t>
  </si>
  <si>
    <t xml:space="preserve">Valoración Servicio
(1-5)</t>
  </si>
  <si>
    <t xml:space="preserve">¿Alternativa viable?</t>
  </si>
  <si>
    <t xml:space="preserve">REFERENCIA: Distribuidores principales España (Cap.7.1A del Manual). Pre-completar con datos de contacto al inicio del proyecto.</t>
  </si>
  <si>
    <t xml:space="preserve">Brenntag España</t>
  </si>
  <si>
    <t xml:space="preserve">Distribuidor nacional</t>
  </si>
  <si>
    <t xml:space="preserve">brenntag.com/es-es</t>
  </si>
  <si>
    <t xml:space="preserve">Univar Solutions</t>
  </si>
  <si>
    <t xml:space="preserve">Distribuidor internacional</t>
  </si>
  <si>
    <t xml:space="preserve">univarsolutions.com/es</t>
  </si>
  <si>
    <t xml:space="preserve">Quimidroga</t>
  </si>
  <si>
    <t xml:space="preserve">quimidroga.com</t>
  </si>
  <si>
    <t xml:space="preserve">Barcelonesa de Drogas</t>
  </si>
  <si>
    <t xml:space="preserve">barcelonesa.com</t>
  </si>
  <si>
    <t xml:space="preserve">Acideka</t>
  </si>
  <si>
    <t xml:space="preserve">acideka.com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</si>
</sst>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D7377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0000CC"/>
      <name val="Arial"/>
      <family val="0"/>
      <charset val="1"/>
    </font>
    <font>
      <b val="true"/>
      <sz val="9"/>
      <color rgb="FFC0392B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8"/>
      <color rgb="FF0D7377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i val="true"/>
      <sz val="8"/>
      <color rgb="FFC039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E0F2F1"/>
        <bgColor rgb="FFCCFFFF"/>
      </patternFill>
    </fill>
    <fill>
      <patternFill patternType="solid">
        <fgColor rgb="FF0D7377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0000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CCCCC"/>
      <rgbColor rgb="FF808080"/>
      <rgbColor rgb="FF9999FF"/>
      <rgbColor rgb="FF8E44AD"/>
      <rgbColor rgb="FFFFF9E6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666666"/>
      <rgbColor rgb="FF969696"/>
      <rgbColor rgb="FF1B2A4A"/>
      <rgbColor rgb="FF27AE60"/>
      <rgbColor rgb="FF003300"/>
      <rgbColor rgb="FF333300"/>
      <rgbColor rgb="FFC0392B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</row>
    <row r="4" customFormat="false" ht="15" hidden="false" customHeight="true" outlineLevel="0" collapsed="false">
      <c r="A4" s="5" t="s">
        <v>4</v>
      </c>
      <c r="B4" s="6" t="n">
        <f aca="false">'Inventario Químicos'!U55</f>
        <v>0</v>
      </c>
    </row>
    <row r="5" customFormat="false" ht="15" hidden="false" customHeight="true" outlineLevel="0" collapsed="false">
      <c r="A5" s="5" t="s">
        <v>5</v>
      </c>
      <c r="B5" s="6" t="n">
        <f aca="false">COUNTA('Inventario Químicos'!C5:C54)</f>
        <v>0</v>
      </c>
    </row>
    <row r="6" customFormat="false" ht="15" hidden="false" customHeight="true" outlineLevel="0" collapsed="false">
      <c r="A6" s="5" t="s">
        <v>6</v>
      </c>
      <c r="B6" s="6" t="n">
        <f aca="false">COUNTA(Proveedores!B4:B28)</f>
        <v>0</v>
      </c>
    </row>
    <row r="7" customFormat="false" ht="15" hidden="false" customHeight="true" outlineLevel="0" collapsed="false">
      <c r="A7" s="5" t="s">
        <v>7</v>
      </c>
      <c r="B7" s="6" t="n">
        <f aca="false">COUNTIF('Inventario Químicos'!L5:L54,"Fijo")</f>
        <v>0</v>
      </c>
    </row>
    <row r="8" customFormat="false" ht="15" hidden="false" customHeight="true" outlineLevel="0" collapsed="false">
      <c r="A8" s="5" t="s">
        <v>8</v>
      </c>
      <c r="B8" s="6" t="n">
        <f aca="false">COUNTIF('Inventario Químicos'!L5:L54,"Indexado")</f>
        <v>0</v>
      </c>
    </row>
    <row r="9" customFormat="false" ht="15" hidden="false" customHeight="true" outlineLevel="0" collapsed="false">
      <c r="A9" s="5" t="s">
        <v>9</v>
      </c>
      <c r="B9" s="6" t="n">
        <f aca="false">COUNTIF('Inventario Químicos'!L5:L54,"Spot*")</f>
        <v>0</v>
      </c>
    </row>
    <row r="10" customFormat="false" ht="15" hidden="false" customHeight="true" outlineLevel="0" collapsed="false">
      <c r="A10" s="5" t="s">
        <v>10</v>
      </c>
      <c r="B10" s="6" t="n">
        <f aca="false">'Inventario Químicos'!AA55</f>
        <v>0</v>
      </c>
    </row>
    <row r="11" customFormat="false" ht="15" hidden="false" customHeight="true" outlineLevel="0" collapsed="false">
      <c r="A11" s="5" t="s">
        <v>11</v>
      </c>
      <c r="B11" s="6" t="str">
        <f aca="false">IF(B4&gt;0,B10/B4,"")</f>
        <v/>
      </c>
    </row>
    <row r="14" customFormat="false" ht="15" hidden="false" customHeight="true" outlineLevel="0" collapsed="false">
      <c r="A14" s="7" t="s">
        <v>12</v>
      </c>
      <c r="B14" s="7"/>
      <c r="C14" s="7"/>
      <c r="D14" s="7"/>
    </row>
    <row r="15" customFormat="false" ht="15" hidden="false" customHeight="true" outlineLevel="0" collapsed="false">
      <c r="A15" s="4" t="s">
        <v>13</v>
      </c>
      <c r="B15" s="4" t="s">
        <v>14</v>
      </c>
      <c r="C15" s="4" t="s">
        <v>15</v>
      </c>
      <c r="D15" s="4" t="s">
        <v>16</v>
      </c>
    </row>
    <row r="16" customFormat="false" ht="15" hidden="false" customHeight="true" outlineLevel="0" collapsed="false">
      <c r="A16" s="8" t="s">
        <v>17</v>
      </c>
      <c r="B16" s="6" t="n">
        <f aca="false">COUNTIF('Inventario Químicos'!H5:H54,"Commodity")</f>
        <v>0</v>
      </c>
      <c r="C16" s="6" t="n">
        <f aca="false">SUMIFS('Inventario Químicos'!U5:U54,'Inventario Químicos'!H5:H54,"Commodity")</f>
        <v>0</v>
      </c>
      <c r="D16" s="6" t="str">
        <f aca="false">IF(B4&gt;0,C16/B4,"")</f>
        <v/>
      </c>
    </row>
    <row r="17" customFormat="false" ht="15" hidden="false" customHeight="true" outlineLevel="0" collapsed="false">
      <c r="A17" s="8" t="s">
        <v>18</v>
      </c>
      <c r="B17" s="6" t="n">
        <f aca="false">COUNTIF('Inventario Químicos'!H5:H54,"Semi-especialidad")</f>
        <v>0</v>
      </c>
      <c r="C17" s="6" t="n">
        <f aca="false">SUMIFS('Inventario Químicos'!U5:U54,'Inventario Químicos'!H5:H54,"Semi-especialidad")</f>
        <v>0</v>
      </c>
      <c r="D17" s="6" t="str">
        <f aca="false">IF(B4&gt;0,C17/B4,"")</f>
        <v/>
      </c>
    </row>
    <row r="18" customFormat="false" ht="15" hidden="false" customHeight="true" outlineLevel="0" collapsed="false">
      <c r="A18" s="8" t="s">
        <v>19</v>
      </c>
      <c r="B18" s="6" t="n">
        <f aca="false">COUNTIF('Inventario Químicos'!H5:H54,"Especialidad")</f>
        <v>0</v>
      </c>
      <c r="C18" s="6" t="n">
        <f aca="false">SUMIFS('Inventario Químicos'!U5:U54,'Inventario Químicos'!H5:H54,"Especialidad")</f>
        <v>0</v>
      </c>
      <c r="D18" s="6" t="str">
        <f aca="false">IF(B4&gt;0,C18/B4,"")</f>
        <v/>
      </c>
    </row>
    <row r="21" customFormat="false" ht="15" hidden="false" customHeight="true" outlineLevel="0" collapsed="false">
      <c r="A21" s="7" t="s">
        <v>20</v>
      </c>
      <c r="B21" s="7"/>
      <c r="C21" s="7"/>
    </row>
    <row r="22" customFormat="false" ht="23.25" hidden="false" customHeight="true" outlineLevel="0" collapsed="false">
      <c r="A22" s="4" t="s">
        <v>21</v>
      </c>
      <c r="B22" s="4" t="s">
        <v>14</v>
      </c>
      <c r="C22" s="4" t="s">
        <v>22</v>
      </c>
    </row>
    <row r="23" customFormat="false" ht="15" hidden="false" customHeight="true" outlineLevel="0" collapsed="false">
      <c r="A23" s="8" t="s">
        <v>23</v>
      </c>
      <c r="B23" s="6" t="n">
        <f aca="false">COUNTIF('Inventario Químicos'!M5:M54,"Bidón/Garrafa")</f>
        <v>0</v>
      </c>
      <c r="C23" s="9"/>
    </row>
    <row r="24" customFormat="false" ht="15" hidden="false" customHeight="true" outlineLevel="0" collapsed="false">
      <c r="A24" s="8" t="s">
        <v>24</v>
      </c>
      <c r="B24" s="6" t="n">
        <f aca="false">COUNTIF('Inventario Químicos'!M5:M54,"IBC 1000L")</f>
        <v>0</v>
      </c>
      <c r="C24" s="9"/>
    </row>
    <row r="25" customFormat="false" ht="15" hidden="false" customHeight="true" outlineLevel="0" collapsed="false">
      <c r="A25" s="8" t="s">
        <v>25</v>
      </c>
      <c r="B25" s="6" t="n">
        <f aca="false">COUNTIF('Inventario Químicos'!M5:M54,"Contenedor 20-24tm")</f>
        <v>0</v>
      </c>
      <c r="C25" s="9"/>
    </row>
    <row r="26" customFormat="false" ht="15" hidden="false" customHeight="true" outlineLevel="0" collapsed="false">
      <c r="A26" s="8" t="s">
        <v>26</v>
      </c>
      <c r="B26" s="6" t="n">
        <f aca="false">COUNTIF('Inventario Químicos'!M5:M54,"Cisterna")</f>
        <v>0</v>
      </c>
      <c r="C26" s="9"/>
    </row>
    <row r="29" customFormat="false" ht="15" hidden="false" customHeight="true" outlineLevel="0" collapsed="false">
      <c r="A29" s="7" t="s">
        <v>27</v>
      </c>
      <c r="B29" s="7"/>
      <c r="C29" s="7"/>
    </row>
    <row r="30" customFormat="false" ht="15" hidden="false" customHeight="true" outlineLevel="0" collapsed="false">
      <c r="A30" s="4" t="s">
        <v>28</v>
      </c>
      <c r="B30" s="4" t="s">
        <v>29</v>
      </c>
      <c r="C30" s="4" t="s">
        <v>30</v>
      </c>
    </row>
    <row r="31" customFormat="false" ht="15" hidden="false" customHeight="true" outlineLevel="0" collapsed="false">
      <c r="A31" s="8" t="s">
        <v>31</v>
      </c>
      <c r="B31" s="9"/>
      <c r="C31" s="8" t="s">
        <v>32</v>
      </c>
    </row>
    <row r="32" customFormat="false" ht="15" hidden="false" customHeight="true" outlineLevel="0" collapsed="false">
      <c r="A32" s="8" t="s">
        <v>33</v>
      </c>
      <c r="B32" s="9"/>
      <c r="C32" s="10" t="s">
        <v>34</v>
      </c>
    </row>
    <row r="33" customFormat="false" ht="15" hidden="false" customHeight="true" outlineLevel="0" collapsed="false">
      <c r="A33" s="8" t="s">
        <v>35</v>
      </c>
      <c r="B33" s="9"/>
      <c r="C33" s="8" t="s">
        <v>36</v>
      </c>
    </row>
    <row r="34" customFormat="false" ht="15" hidden="false" customHeight="true" outlineLevel="0" collapsed="false">
      <c r="A34" s="8" t="s">
        <v>37</v>
      </c>
      <c r="B34" s="9"/>
      <c r="C34" s="8" t="s">
        <v>38</v>
      </c>
    </row>
    <row r="35" customFormat="false" ht="15" hidden="false" customHeight="true" outlineLevel="0" collapsed="false">
      <c r="A35" s="8" t="s">
        <v>39</v>
      </c>
      <c r="B35" s="9"/>
      <c r="C35" s="10" t="s">
        <v>34</v>
      </c>
    </row>
    <row r="38" customFormat="false" ht="15" hidden="false" customHeight="true" outlineLevel="0" collapsed="false">
      <c r="A38" s="7" t="s">
        <v>40</v>
      </c>
      <c r="B38" s="7"/>
      <c r="C38" s="7"/>
      <c r="D38" s="7"/>
      <c r="E38" s="7"/>
      <c r="F38" s="7"/>
    </row>
    <row r="39" customFormat="false" ht="15" hidden="false" customHeight="true" outlineLevel="0" collapsed="false">
      <c r="A39" s="11" t="s">
        <v>41</v>
      </c>
      <c r="B39" s="11"/>
      <c r="C39" s="11"/>
      <c r="D39" s="11"/>
      <c r="E39" s="11"/>
      <c r="F39" s="11"/>
    </row>
    <row r="40" customFormat="false" ht="15" hidden="false" customHeight="true" outlineLevel="0" collapsed="false">
      <c r="A40" s="11" t="s">
        <v>42</v>
      </c>
      <c r="B40" s="11"/>
      <c r="C40" s="11"/>
      <c r="D40" s="11"/>
      <c r="E40" s="11"/>
      <c r="F40" s="11"/>
    </row>
    <row r="41" customFormat="false" ht="15" hidden="false" customHeight="true" outlineLevel="0" collapsed="false">
      <c r="A41" s="11" t="s">
        <v>43</v>
      </c>
      <c r="B41" s="11"/>
      <c r="C41" s="11"/>
      <c r="D41" s="11"/>
      <c r="E41" s="11"/>
      <c r="F41" s="11"/>
    </row>
    <row r="42" customFormat="false" ht="15" hidden="false" customHeight="true" outlineLevel="0" collapsed="false">
      <c r="A42" s="11" t="s">
        <v>44</v>
      </c>
      <c r="B42" s="11"/>
      <c r="C42" s="11"/>
      <c r="D42" s="11"/>
      <c r="E42" s="11"/>
      <c r="F42" s="11"/>
    </row>
    <row r="43" customFormat="false" ht="15" hidden="false" customHeight="true" outlineLevel="0" collapsed="false">
      <c r="A43" s="11" t="s">
        <v>45</v>
      </c>
      <c r="B43" s="11"/>
      <c r="C43" s="11"/>
      <c r="D43" s="11"/>
      <c r="E43" s="11"/>
      <c r="F43" s="11"/>
    </row>
    <row r="44" customFormat="false" ht="15" hidden="false" customHeight="true" outlineLevel="0" collapsed="false">
      <c r="A44" s="11" t="s">
        <v>46</v>
      </c>
      <c r="B44" s="11"/>
      <c r="C44" s="11"/>
      <c r="D44" s="11"/>
      <c r="E44" s="11"/>
      <c r="F44" s="11"/>
    </row>
    <row r="45" customFormat="false" ht="15" hidden="false" customHeight="true" outlineLevel="0" collapsed="false">
      <c r="A45" s="11" t="s">
        <v>47</v>
      </c>
      <c r="B45" s="11"/>
      <c r="C45" s="11"/>
      <c r="D45" s="11"/>
      <c r="E45" s="11"/>
      <c r="F45" s="11"/>
    </row>
    <row r="46" customFormat="false" ht="15" hidden="false" customHeight="true" outlineLevel="0" collapsed="false">
      <c r="A46" s="11" t="s">
        <v>48</v>
      </c>
      <c r="B46" s="11"/>
      <c r="C46" s="11"/>
      <c r="D46" s="11"/>
      <c r="E46" s="11"/>
      <c r="F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true" outlineLevel="0" collapsed="false">
      <c r="A48" s="12" t="s">
        <v>49</v>
      </c>
      <c r="B48" s="12"/>
      <c r="C48" s="12"/>
      <c r="D48" s="12"/>
      <c r="E48" s="12"/>
      <c r="F48" s="12"/>
    </row>
    <row r="49" customFormat="false" ht="15" hidden="false" customHeight="true" outlineLevel="0" collapsed="false">
      <c r="A49" s="11" t="s">
        <v>50</v>
      </c>
      <c r="B49" s="11"/>
      <c r="C49" s="11"/>
      <c r="D49" s="11"/>
      <c r="E49" s="11"/>
      <c r="F49" s="11"/>
    </row>
  </sheetData>
  <mergeCells count="16">
    <mergeCell ref="A1:H1"/>
    <mergeCell ref="A14:D14"/>
    <mergeCell ref="A21:C21"/>
    <mergeCell ref="A29:C29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7" min="5" style="1" width="12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3" min="12" style="1" width="12"/>
    <col collapsed="false" customWidth="true" hidden="false" outlineLevel="0" max="14" min="14" style="1" width="10"/>
    <col collapsed="false" customWidth="true" hidden="false" outlineLevel="0" max="16" min="15" style="1" width="14"/>
    <col collapsed="false" customWidth="true" hidden="false" outlineLevel="0" max="17" min="17" style="1" width="8"/>
    <col collapsed="false" customWidth="true" hidden="false" outlineLevel="0" max="21" min="18" style="1" width="14"/>
    <col collapsed="false" customWidth="true" hidden="false" outlineLevel="0" max="22" min="22" style="1" width="12"/>
    <col collapsed="false" customWidth="true" hidden="false" outlineLevel="0" max="23" min="23" style="1" width="16"/>
    <col collapsed="false" customWidth="true" hidden="false" outlineLevel="0" max="24" min="24" style="1" width="10"/>
    <col collapsed="false" customWidth="true" hidden="false" outlineLevel="0" max="25" min="25" style="1" width="16"/>
    <col collapsed="false" customWidth="true" hidden="false" outlineLevel="0" max="26" min="26" style="1" width="12"/>
    <col collapsed="false" customWidth="true" hidden="false" outlineLevel="0" max="27" min="27" style="1" width="14"/>
    <col collapsed="false" customWidth="true" hidden="false" outlineLevel="0" max="28" min="28" style="1" width="22"/>
  </cols>
  <sheetData>
    <row r="1" customFormat="false" ht="17.25" hidden="false" customHeight="true" outlineLevel="0" collapsed="false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true" outlineLevel="0" collapsed="false">
      <c r="A2" s="3" t="s">
        <v>52</v>
      </c>
    </row>
    <row r="3" customFormat="false" ht="15" hidden="false" customHeight="true" outlineLevel="0" collapsed="false">
      <c r="B3" s="13" t="s">
        <v>53</v>
      </c>
      <c r="C3" s="13"/>
      <c r="D3" s="13"/>
      <c r="E3" s="13"/>
      <c r="F3" s="13"/>
      <c r="G3" s="13"/>
      <c r="H3" s="13"/>
      <c r="I3" s="13"/>
      <c r="J3" s="13" t="s">
        <v>54</v>
      </c>
      <c r="K3" s="13"/>
      <c r="L3" s="13"/>
      <c r="M3" s="13" t="s">
        <v>55</v>
      </c>
      <c r="N3" s="13"/>
      <c r="O3" s="13" t="s">
        <v>56</v>
      </c>
      <c r="P3" s="13"/>
      <c r="Q3" s="13"/>
      <c r="R3" s="13"/>
      <c r="S3" s="13"/>
      <c r="T3" s="13" t="s">
        <v>57</v>
      </c>
      <c r="U3" s="13"/>
      <c r="V3" s="14" t="s">
        <v>58</v>
      </c>
      <c r="W3" s="13" t="s">
        <v>59</v>
      </c>
      <c r="X3" s="13"/>
      <c r="Y3" s="13" t="s">
        <v>60</v>
      </c>
      <c r="Z3" s="13"/>
      <c r="AA3" s="13"/>
      <c r="AB3" s="14" t="s">
        <v>61</v>
      </c>
    </row>
    <row r="4" customFormat="false" ht="34.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13</v>
      </c>
      <c r="I4" s="4" t="s">
        <v>69</v>
      </c>
      <c r="J4" s="4" t="s">
        <v>70</v>
      </c>
      <c r="K4" s="4" t="s">
        <v>71</v>
      </c>
      <c r="L4" s="4" t="s">
        <v>72</v>
      </c>
      <c r="M4" s="4" t="s">
        <v>73</v>
      </c>
      <c r="N4" s="4" t="s">
        <v>74</v>
      </c>
      <c r="O4" s="4" t="s">
        <v>75</v>
      </c>
      <c r="P4" s="4" t="s">
        <v>76</v>
      </c>
      <c r="Q4" s="4" t="s">
        <v>77</v>
      </c>
      <c r="R4" s="4" t="s">
        <v>78</v>
      </c>
      <c r="S4" s="4" t="s">
        <v>79</v>
      </c>
      <c r="T4" s="4" t="s">
        <v>80</v>
      </c>
      <c r="U4" s="4" t="s">
        <v>81</v>
      </c>
      <c r="V4" s="4" t="s">
        <v>82</v>
      </c>
      <c r="W4" s="4" t="s">
        <v>83</v>
      </c>
      <c r="X4" s="4" t="s">
        <v>84</v>
      </c>
      <c r="Y4" s="4" t="s">
        <v>85</v>
      </c>
      <c r="Z4" s="4" t="s">
        <v>86</v>
      </c>
      <c r="AA4" s="4" t="s">
        <v>87</v>
      </c>
      <c r="AB4" s="4" t="s">
        <v>88</v>
      </c>
    </row>
    <row r="5" customFormat="false" ht="15" hidden="false" customHeight="true" outlineLevel="0" collapsed="false">
      <c r="A5" s="15" t="n">
        <v>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6" t="str">
        <f aca="false">IF(AND(O5&lt;&gt;"",E5&lt;&gt;"",E5&gt;0),O5/(E5/100),"")</f>
        <v/>
      </c>
      <c r="S5" s="6" t="str">
        <f aca="false">IF(AND(O5&lt;&gt;"",E5&lt;&gt;"",E5&gt;0),(O5+IF(P5&lt;&gt;"",P5,0))/(E5/100),"")</f>
        <v/>
      </c>
      <c r="T5" s="9"/>
      <c r="U5" s="6" t="str">
        <f aca="false">IF(AND(S5&lt;&gt;"",T5&lt;&gt;""),S5*T5,"")</f>
        <v/>
      </c>
      <c r="V5" s="6"/>
      <c r="W5" s="9"/>
      <c r="X5" s="9"/>
      <c r="Y5" s="9"/>
      <c r="Z5" s="6" t="str">
        <f aca="false">IF(AND(S5&lt;&gt;"",Y5&lt;&gt;"",Y5&gt;0),(S5-Y5)/Y5,"")</f>
        <v/>
      </c>
      <c r="AA5" s="6" t="str">
        <f aca="false">IF(AND(S5&lt;&gt;"",Y5&lt;&gt;"",T5&lt;&gt;""),MAX(0,(S5-Y5)*T5),"")</f>
        <v/>
      </c>
      <c r="AB5" s="9"/>
    </row>
    <row r="6" customFormat="false" ht="15" hidden="false" customHeight="true" outlineLevel="0" collapsed="false">
      <c r="A6" s="15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6" t="str">
        <f aca="false">IF(AND(O6&lt;&gt;"",E6&lt;&gt;"",E6&gt;0),O6/(E6/100),"")</f>
        <v/>
      </c>
      <c r="S6" s="6" t="str">
        <f aca="false">IF(AND(O6&lt;&gt;"",E6&lt;&gt;"",E6&gt;0),(O6+IF(P6&lt;&gt;"",P6,0))/(E6/100),"")</f>
        <v/>
      </c>
      <c r="T6" s="9"/>
      <c r="U6" s="6" t="str">
        <f aca="false">IF(AND(S6&lt;&gt;"",T6&lt;&gt;""),S6*T6,"")</f>
        <v/>
      </c>
      <c r="V6" s="6"/>
      <c r="W6" s="9"/>
      <c r="X6" s="9"/>
      <c r="Y6" s="9"/>
      <c r="Z6" s="6" t="str">
        <f aca="false">IF(AND(S6&lt;&gt;"",Y6&lt;&gt;"",Y6&gt;0),(S6-Y6)/Y6,"")</f>
        <v/>
      </c>
      <c r="AA6" s="6" t="str">
        <f aca="false">IF(AND(S6&lt;&gt;"",Y6&lt;&gt;"",T6&lt;&gt;""),MAX(0,(S6-Y6)*T6),"")</f>
        <v/>
      </c>
      <c r="AB6" s="9"/>
    </row>
    <row r="7" customFormat="false" ht="15" hidden="false" customHeight="true" outlineLevel="0" collapsed="false">
      <c r="A7" s="15" t="n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6" t="str">
        <f aca="false">IF(AND(O7&lt;&gt;"",E7&lt;&gt;"",E7&gt;0),O7/(E7/100),"")</f>
        <v/>
      </c>
      <c r="S7" s="6" t="str">
        <f aca="false">IF(AND(O7&lt;&gt;"",E7&lt;&gt;"",E7&gt;0),(O7+IF(P7&lt;&gt;"",P7,0))/(E7/100),"")</f>
        <v/>
      </c>
      <c r="T7" s="9"/>
      <c r="U7" s="6" t="str">
        <f aca="false">IF(AND(S7&lt;&gt;"",T7&lt;&gt;""),S7*T7,"")</f>
        <v/>
      </c>
      <c r="V7" s="6"/>
      <c r="W7" s="9"/>
      <c r="X7" s="9"/>
      <c r="Y7" s="9"/>
      <c r="Z7" s="6" t="str">
        <f aca="false">IF(AND(S7&lt;&gt;"",Y7&lt;&gt;"",Y7&gt;0),(S7-Y7)/Y7,"")</f>
        <v/>
      </c>
      <c r="AA7" s="6" t="str">
        <f aca="false">IF(AND(S7&lt;&gt;"",Y7&lt;&gt;"",T7&lt;&gt;""),MAX(0,(S7-Y7)*T7),"")</f>
        <v/>
      </c>
      <c r="AB7" s="9"/>
    </row>
    <row r="8" customFormat="false" ht="15" hidden="false" customHeight="true" outlineLevel="0" collapsed="false">
      <c r="A8" s="15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6" t="str">
        <f aca="false">IF(AND(O8&lt;&gt;"",E8&lt;&gt;"",E8&gt;0),O8/(E8/100),"")</f>
        <v/>
      </c>
      <c r="S8" s="6" t="str">
        <f aca="false">IF(AND(O8&lt;&gt;"",E8&lt;&gt;"",E8&gt;0),(O8+IF(P8&lt;&gt;"",P8,0))/(E8/100),"")</f>
        <v/>
      </c>
      <c r="T8" s="9"/>
      <c r="U8" s="6" t="str">
        <f aca="false">IF(AND(S8&lt;&gt;"",T8&lt;&gt;""),S8*T8,"")</f>
        <v/>
      </c>
      <c r="V8" s="6"/>
      <c r="W8" s="9"/>
      <c r="X8" s="9"/>
      <c r="Y8" s="9"/>
      <c r="Z8" s="6" t="str">
        <f aca="false">IF(AND(S8&lt;&gt;"",Y8&lt;&gt;"",Y8&gt;0),(S8-Y8)/Y8,"")</f>
        <v/>
      </c>
      <c r="AA8" s="6" t="str">
        <f aca="false">IF(AND(S8&lt;&gt;"",Y8&lt;&gt;"",T8&lt;&gt;""),MAX(0,(S8-Y8)*T8),"")</f>
        <v/>
      </c>
      <c r="AB8" s="9"/>
    </row>
    <row r="9" customFormat="false" ht="15" hidden="false" customHeight="true" outlineLevel="0" collapsed="false">
      <c r="A9" s="15" t="n">
        <v>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6" t="str">
        <f aca="false">IF(AND(O9&lt;&gt;"",E9&lt;&gt;"",E9&gt;0),O9/(E9/100),"")</f>
        <v/>
      </c>
      <c r="S9" s="6" t="str">
        <f aca="false">IF(AND(O9&lt;&gt;"",E9&lt;&gt;"",E9&gt;0),(O9+IF(P9&lt;&gt;"",P9,0))/(E9/100),"")</f>
        <v/>
      </c>
      <c r="T9" s="9"/>
      <c r="U9" s="6" t="str">
        <f aca="false">IF(AND(S9&lt;&gt;"",T9&lt;&gt;""),S9*T9,"")</f>
        <v/>
      </c>
      <c r="V9" s="6"/>
      <c r="W9" s="9"/>
      <c r="X9" s="9"/>
      <c r="Y9" s="9"/>
      <c r="Z9" s="6" t="str">
        <f aca="false">IF(AND(S9&lt;&gt;"",Y9&lt;&gt;"",Y9&gt;0),(S9-Y9)/Y9,"")</f>
        <v/>
      </c>
      <c r="AA9" s="6" t="str">
        <f aca="false">IF(AND(S9&lt;&gt;"",Y9&lt;&gt;"",T9&lt;&gt;""),MAX(0,(S9-Y9)*T9),"")</f>
        <v/>
      </c>
      <c r="AB9" s="9"/>
    </row>
    <row r="10" customFormat="false" ht="15" hidden="false" customHeight="true" outlineLevel="0" collapsed="false">
      <c r="A10" s="15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6" t="str">
        <f aca="false">IF(AND(O10&lt;&gt;"",E10&lt;&gt;"",E10&gt;0),O10/(E10/100),"")</f>
        <v/>
      </c>
      <c r="S10" s="6" t="str">
        <f aca="false">IF(AND(O10&lt;&gt;"",E10&lt;&gt;"",E10&gt;0),(O10+IF(P10&lt;&gt;"",P10,0))/(E10/100),"")</f>
        <v/>
      </c>
      <c r="T10" s="9"/>
      <c r="U10" s="6" t="str">
        <f aca="false">IF(AND(S10&lt;&gt;"",T10&lt;&gt;""),S10*T10,"")</f>
        <v/>
      </c>
      <c r="V10" s="6"/>
      <c r="W10" s="9"/>
      <c r="X10" s="9"/>
      <c r="Y10" s="9"/>
      <c r="Z10" s="6" t="str">
        <f aca="false">IF(AND(S10&lt;&gt;"",Y10&lt;&gt;"",Y10&gt;0),(S10-Y10)/Y10,"")</f>
        <v/>
      </c>
      <c r="AA10" s="6" t="str">
        <f aca="false">IF(AND(S10&lt;&gt;"",Y10&lt;&gt;"",T10&lt;&gt;""),MAX(0,(S10-Y10)*T10),"")</f>
        <v/>
      </c>
      <c r="AB10" s="9"/>
    </row>
    <row r="11" customFormat="false" ht="15" hidden="false" customHeight="true" outlineLevel="0" collapsed="false">
      <c r="A11" s="15" t="n">
        <v>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6" t="str">
        <f aca="false">IF(AND(O11&lt;&gt;"",E11&lt;&gt;"",E11&gt;0),O11/(E11/100),"")</f>
        <v/>
      </c>
      <c r="S11" s="6" t="str">
        <f aca="false">IF(AND(O11&lt;&gt;"",E11&lt;&gt;"",E11&gt;0),(O11+IF(P11&lt;&gt;"",P11,0))/(E11/100),"")</f>
        <v/>
      </c>
      <c r="T11" s="9"/>
      <c r="U11" s="6" t="str">
        <f aca="false">IF(AND(S11&lt;&gt;"",T11&lt;&gt;""),S11*T11,"")</f>
        <v/>
      </c>
      <c r="V11" s="6"/>
      <c r="W11" s="9"/>
      <c r="X11" s="9"/>
      <c r="Y11" s="9"/>
      <c r="Z11" s="6" t="str">
        <f aca="false">IF(AND(S11&lt;&gt;"",Y11&lt;&gt;"",Y11&gt;0),(S11-Y11)/Y11,"")</f>
        <v/>
      </c>
      <c r="AA11" s="6" t="str">
        <f aca="false">IF(AND(S11&lt;&gt;"",Y11&lt;&gt;"",T11&lt;&gt;""),MAX(0,(S11-Y11)*T11),"")</f>
        <v/>
      </c>
      <c r="AB11" s="9"/>
    </row>
    <row r="12" customFormat="false" ht="15" hidden="false" customHeight="true" outlineLevel="0" collapsed="false">
      <c r="A12" s="15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6" t="str">
        <f aca="false">IF(AND(O12&lt;&gt;"",E12&lt;&gt;"",E12&gt;0),O12/(E12/100),"")</f>
        <v/>
      </c>
      <c r="S12" s="6" t="str">
        <f aca="false">IF(AND(O12&lt;&gt;"",E12&lt;&gt;"",E12&gt;0),(O12+IF(P12&lt;&gt;"",P12,0))/(E12/100),"")</f>
        <v/>
      </c>
      <c r="T12" s="9"/>
      <c r="U12" s="6" t="str">
        <f aca="false">IF(AND(S12&lt;&gt;"",T12&lt;&gt;""),S12*T12,"")</f>
        <v/>
      </c>
      <c r="V12" s="6"/>
      <c r="W12" s="9"/>
      <c r="X12" s="9"/>
      <c r="Y12" s="9"/>
      <c r="Z12" s="6" t="str">
        <f aca="false">IF(AND(S12&lt;&gt;"",Y12&lt;&gt;"",Y12&gt;0),(S12-Y12)/Y12,"")</f>
        <v/>
      </c>
      <c r="AA12" s="6" t="str">
        <f aca="false">IF(AND(S12&lt;&gt;"",Y12&lt;&gt;"",T12&lt;&gt;""),MAX(0,(S12-Y12)*T12),"")</f>
        <v/>
      </c>
      <c r="AB12" s="9"/>
    </row>
    <row r="13" customFormat="false" ht="15" hidden="false" customHeight="true" outlineLevel="0" collapsed="false">
      <c r="A13" s="15" t="n">
        <v>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6" t="str">
        <f aca="false">IF(AND(O13&lt;&gt;"",E13&lt;&gt;"",E13&gt;0),O13/(E13/100),"")</f>
        <v/>
      </c>
      <c r="S13" s="6" t="str">
        <f aca="false">IF(AND(O13&lt;&gt;"",E13&lt;&gt;"",E13&gt;0),(O13+IF(P13&lt;&gt;"",P13,0))/(E13/100),"")</f>
        <v/>
      </c>
      <c r="T13" s="9"/>
      <c r="U13" s="6" t="str">
        <f aca="false">IF(AND(S13&lt;&gt;"",T13&lt;&gt;""),S13*T13,"")</f>
        <v/>
      </c>
      <c r="V13" s="6"/>
      <c r="W13" s="9"/>
      <c r="X13" s="9"/>
      <c r="Y13" s="9"/>
      <c r="Z13" s="6" t="str">
        <f aca="false">IF(AND(S13&lt;&gt;"",Y13&lt;&gt;"",Y13&gt;0),(S13-Y13)/Y13,"")</f>
        <v/>
      </c>
      <c r="AA13" s="6" t="str">
        <f aca="false">IF(AND(S13&lt;&gt;"",Y13&lt;&gt;"",T13&lt;&gt;""),MAX(0,(S13-Y13)*T13),"")</f>
        <v/>
      </c>
      <c r="AB13" s="9"/>
    </row>
    <row r="14" customFormat="false" ht="15" hidden="false" customHeight="true" outlineLevel="0" collapsed="false">
      <c r="A14" s="15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6" t="str">
        <f aca="false">IF(AND(O14&lt;&gt;"",E14&lt;&gt;"",E14&gt;0),O14/(E14/100),"")</f>
        <v/>
      </c>
      <c r="S14" s="6" t="str">
        <f aca="false">IF(AND(O14&lt;&gt;"",E14&lt;&gt;"",E14&gt;0),(O14+IF(P14&lt;&gt;"",P14,0))/(E14/100),"")</f>
        <v/>
      </c>
      <c r="T14" s="9"/>
      <c r="U14" s="6" t="str">
        <f aca="false">IF(AND(S14&lt;&gt;"",T14&lt;&gt;""),S14*T14,"")</f>
        <v/>
      </c>
      <c r="V14" s="6"/>
      <c r="W14" s="9"/>
      <c r="X14" s="9"/>
      <c r="Y14" s="9"/>
      <c r="Z14" s="6" t="str">
        <f aca="false">IF(AND(S14&lt;&gt;"",Y14&lt;&gt;"",Y14&gt;0),(S14-Y14)/Y14,"")</f>
        <v/>
      </c>
      <c r="AA14" s="6" t="str">
        <f aca="false">IF(AND(S14&lt;&gt;"",Y14&lt;&gt;"",T14&lt;&gt;""),MAX(0,(S14-Y14)*T14),"")</f>
        <v/>
      </c>
      <c r="AB14" s="9"/>
    </row>
    <row r="15" customFormat="false" ht="15" hidden="false" customHeight="true" outlineLevel="0" collapsed="false">
      <c r="A15" s="15" t="n">
        <v>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6" t="str">
        <f aca="false">IF(AND(O15&lt;&gt;"",E15&lt;&gt;"",E15&gt;0),O15/(E15/100),"")</f>
        <v/>
      </c>
      <c r="S15" s="6" t="str">
        <f aca="false">IF(AND(O15&lt;&gt;"",E15&lt;&gt;"",E15&gt;0),(O15+IF(P15&lt;&gt;"",P15,0))/(E15/100),"")</f>
        <v/>
      </c>
      <c r="T15" s="9"/>
      <c r="U15" s="6" t="str">
        <f aca="false">IF(AND(S15&lt;&gt;"",T15&lt;&gt;""),S15*T15,"")</f>
        <v/>
      </c>
      <c r="V15" s="6"/>
      <c r="W15" s="9"/>
      <c r="X15" s="9"/>
      <c r="Y15" s="9"/>
      <c r="Z15" s="6" t="str">
        <f aca="false">IF(AND(S15&lt;&gt;"",Y15&lt;&gt;"",Y15&gt;0),(S15-Y15)/Y15,"")</f>
        <v/>
      </c>
      <c r="AA15" s="6" t="str">
        <f aca="false">IF(AND(S15&lt;&gt;"",Y15&lt;&gt;"",T15&lt;&gt;""),MAX(0,(S15-Y15)*T15),"")</f>
        <v/>
      </c>
      <c r="AB15" s="9"/>
    </row>
    <row r="16" customFormat="false" ht="15" hidden="false" customHeight="true" outlineLevel="0" collapsed="false">
      <c r="A16" s="15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6" t="str">
        <f aca="false">IF(AND(O16&lt;&gt;"",E16&lt;&gt;"",E16&gt;0),O16/(E16/100),"")</f>
        <v/>
      </c>
      <c r="S16" s="6" t="str">
        <f aca="false">IF(AND(O16&lt;&gt;"",E16&lt;&gt;"",E16&gt;0),(O16+IF(P16&lt;&gt;"",P16,0))/(E16/100),"")</f>
        <v/>
      </c>
      <c r="T16" s="9"/>
      <c r="U16" s="6" t="str">
        <f aca="false">IF(AND(S16&lt;&gt;"",T16&lt;&gt;""),S16*T16,"")</f>
        <v/>
      </c>
      <c r="V16" s="6"/>
      <c r="W16" s="9"/>
      <c r="X16" s="9"/>
      <c r="Y16" s="9"/>
      <c r="Z16" s="6" t="str">
        <f aca="false">IF(AND(S16&lt;&gt;"",Y16&lt;&gt;"",Y16&gt;0),(S16-Y16)/Y16,"")</f>
        <v/>
      </c>
      <c r="AA16" s="6" t="str">
        <f aca="false">IF(AND(S16&lt;&gt;"",Y16&lt;&gt;"",T16&lt;&gt;""),MAX(0,(S16-Y16)*T16),"")</f>
        <v/>
      </c>
      <c r="AB16" s="9"/>
    </row>
    <row r="17" customFormat="false" ht="15" hidden="false" customHeight="true" outlineLevel="0" collapsed="false">
      <c r="A17" s="15" t="n">
        <v>13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6" t="str">
        <f aca="false">IF(AND(O17&lt;&gt;"",E17&lt;&gt;"",E17&gt;0),O17/(E17/100),"")</f>
        <v/>
      </c>
      <c r="S17" s="6" t="str">
        <f aca="false">IF(AND(O17&lt;&gt;"",E17&lt;&gt;"",E17&gt;0),(O17+IF(P17&lt;&gt;"",P17,0))/(E17/100),"")</f>
        <v/>
      </c>
      <c r="T17" s="9"/>
      <c r="U17" s="6" t="str">
        <f aca="false">IF(AND(S17&lt;&gt;"",T17&lt;&gt;""),S17*T17,"")</f>
        <v/>
      </c>
      <c r="V17" s="6"/>
      <c r="W17" s="9"/>
      <c r="X17" s="9"/>
      <c r="Y17" s="9"/>
      <c r="Z17" s="6" t="str">
        <f aca="false">IF(AND(S17&lt;&gt;"",Y17&lt;&gt;"",Y17&gt;0),(S17-Y17)/Y17,"")</f>
        <v/>
      </c>
      <c r="AA17" s="6" t="str">
        <f aca="false">IF(AND(S17&lt;&gt;"",Y17&lt;&gt;"",T17&lt;&gt;""),MAX(0,(S17-Y17)*T17),"")</f>
        <v/>
      </c>
      <c r="AB17" s="9"/>
    </row>
    <row r="18" customFormat="false" ht="15" hidden="false" customHeight="true" outlineLevel="0" collapsed="false">
      <c r="A18" s="15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6" t="str">
        <f aca="false">IF(AND(O18&lt;&gt;"",E18&lt;&gt;"",E18&gt;0),O18/(E18/100),"")</f>
        <v/>
      </c>
      <c r="S18" s="6" t="str">
        <f aca="false">IF(AND(O18&lt;&gt;"",E18&lt;&gt;"",E18&gt;0),(O18+IF(P18&lt;&gt;"",P18,0))/(E18/100),"")</f>
        <v/>
      </c>
      <c r="T18" s="9"/>
      <c r="U18" s="6" t="str">
        <f aca="false">IF(AND(S18&lt;&gt;"",T18&lt;&gt;""),S18*T18,"")</f>
        <v/>
      </c>
      <c r="V18" s="6"/>
      <c r="W18" s="9"/>
      <c r="X18" s="9"/>
      <c r="Y18" s="9"/>
      <c r="Z18" s="6" t="str">
        <f aca="false">IF(AND(S18&lt;&gt;"",Y18&lt;&gt;"",Y18&gt;0),(S18-Y18)/Y18,"")</f>
        <v/>
      </c>
      <c r="AA18" s="6" t="str">
        <f aca="false">IF(AND(S18&lt;&gt;"",Y18&lt;&gt;"",T18&lt;&gt;""),MAX(0,(S18-Y18)*T18),"")</f>
        <v/>
      </c>
      <c r="AB18" s="9"/>
    </row>
    <row r="19" customFormat="false" ht="15" hidden="false" customHeight="true" outlineLevel="0" collapsed="false">
      <c r="A19" s="15" t="n">
        <v>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6" t="str">
        <f aca="false">IF(AND(O19&lt;&gt;"",E19&lt;&gt;"",E19&gt;0),O19/(E19/100),"")</f>
        <v/>
      </c>
      <c r="S19" s="6" t="str">
        <f aca="false">IF(AND(O19&lt;&gt;"",E19&lt;&gt;"",E19&gt;0),(O19+IF(P19&lt;&gt;"",P19,0))/(E19/100),"")</f>
        <v/>
      </c>
      <c r="T19" s="9"/>
      <c r="U19" s="6" t="str">
        <f aca="false">IF(AND(S19&lt;&gt;"",T19&lt;&gt;""),S19*T19,"")</f>
        <v/>
      </c>
      <c r="V19" s="6"/>
      <c r="W19" s="9"/>
      <c r="X19" s="9"/>
      <c r="Y19" s="9"/>
      <c r="Z19" s="6" t="str">
        <f aca="false">IF(AND(S19&lt;&gt;"",Y19&lt;&gt;"",Y19&gt;0),(S19-Y19)/Y19,"")</f>
        <v/>
      </c>
      <c r="AA19" s="6" t="str">
        <f aca="false">IF(AND(S19&lt;&gt;"",Y19&lt;&gt;"",T19&lt;&gt;""),MAX(0,(S19-Y19)*T19),"")</f>
        <v/>
      </c>
      <c r="AB19" s="9"/>
    </row>
    <row r="20" customFormat="false" ht="15" hidden="false" customHeight="true" outlineLevel="0" collapsed="false">
      <c r="A20" s="15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6" t="str">
        <f aca="false">IF(AND(O20&lt;&gt;"",E20&lt;&gt;"",E20&gt;0),O20/(E20/100),"")</f>
        <v/>
      </c>
      <c r="S20" s="6" t="str">
        <f aca="false">IF(AND(O20&lt;&gt;"",E20&lt;&gt;"",E20&gt;0),(O20+IF(P20&lt;&gt;"",P20,0))/(E20/100),"")</f>
        <v/>
      </c>
      <c r="T20" s="9"/>
      <c r="U20" s="6" t="str">
        <f aca="false">IF(AND(S20&lt;&gt;"",T20&lt;&gt;""),S20*T20,"")</f>
        <v/>
      </c>
      <c r="V20" s="6"/>
      <c r="W20" s="9"/>
      <c r="X20" s="9"/>
      <c r="Y20" s="9"/>
      <c r="Z20" s="6" t="str">
        <f aca="false">IF(AND(S20&lt;&gt;"",Y20&lt;&gt;"",Y20&gt;0),(S20-Y20)/Y20,"")</f>
        <v/>
      </c>
      <c r="AA20" s="6" t="str">
        <f aca="false">IF(AND(S20&lt;&gt;"",Y20&lt;&gt;"",T20&lt;&gt;""),MAX(0,(S20-Y20)*T20),"")</f>
        <v/>
      </c>
      <c r="AB20" s="9"/>
    </row>
    <row r="21" customFormat="false" ht="15" hidden="false" customHeight="true" outlineLevel="0" collapsed="false">
      <c r="A21" s="15" t="n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6" t="str">
        <f aca="false">IF(AND(O21&lt;&gt;"",E21&lt;&gt;"",E21&gt;0),O21/(E21/100),"")</f>
        <v/>
      </c>
      <c r="S21" s="6" t="str">
        <f aca="false">IF(AND(O21&lt;&gt;"",E21&lt;&gt;"",E21&gt;0),(O21+IF(P21&lt;&gt;"",P21,0))/(E21/100),"")</f>
        <v/>
      </c>
      <c r="T21" s="9"/>
      <c r="U21" s="6" t="str">
        <f aca="false">IF(AND(S21&lt;&gt;"",T21&lt;&gt;""),S21*T21,"")</f>
        <v/>
      </c>
      <c r="V21" s="6"/>
      <c r="W21" s="9"/>
      <c r="X21" s="9"/>
      <c r="Y21" s="9"/>
      <c r="Z21" s="6" t="str">
        <f aca="false">IF(AND(S21&lt;&gt;"",Y21&lt;&gt;"",Y21&gt;0),(S21-Y21)/Y21,"")</f>
        <v/>
      </c>
      <c r="AA21" s="6" t="str">
        <f aca="false">IF(AND(S21&lt;&gt;"",Y21&lt;&gt;"",T21&lt;&gt;""),MAX(0,(S21-Y21)*T21),"")</f>
        <v/>
      </c>
      <c r="AB21" s="9"/>
    </row>
    <row r="22" customFormat="false" ht="15" hidden="false" customHeight="true" outlineLevel="0" collapsed="false">
      <c r="A22" s="15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6" t="str">
        <f aca="false">IF(AND(O22&lt;&gt;"",E22&lt;&gt;"",E22&gt;0),O22/(E22/100),"")</f>
        <v/>
      </c>
      <c r="S22" s="6" t="str">
        <f aca="false">IF(AND(O22&lt;&gt;"",E22&lt;&gt;"",E22&gt;0),(O22+IF(P22&lt;&gt;"",P22,0))/(E22/100),"")</f>
        <v/>
      </c>
      <c r="T22" s="9"/>
      <c r="U22" s="6" t="str">
        <f aca="false">IF(AND(S22&lt;&gt;"",T22&lt;&gt;""),S22*T22,"")</f>
        <v/>
      </c>
      <c r="V22" s="6"/>
      <c r="W22" s="9"/>
      <c r="X22" s="9"/>
      <c r="Y22" s="9"/>
      <c r="Z22" s="6" t="str">
        <f aca="false">IF(AND(S22&lt;&gt;"",Y22&lt;&gt;"",Y22&gt;0),(S22-Y22)/Y22,"")</f>
        <v/>
      </c>
      <c r="AA22" s="6" t="str">
        <f aca="false">IF(AND(S22&lt;&gt;"",Y22&lt;&gt;"",T22&lt;&gt;""),MAX(0,(S22-Y22)*T22),"")</f>
        <v/>
      </c>
      <c r="AB22" s="9"/>
    </row>
    <row r="23" customFormat="false" ht="15" hidden="false" customHeight="true" outlineLevel="0" collapsed="false">
      <c r="A23" s="15" t="n">
        <v>19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6" t="str">
        <f aca="false">IF(AND(O23&lt;&gt;"",E23&lt;&gt;"",E23&gt;0),O23/(E23/100),"")</f>
        <v/>
      </c>
      <c r="S23" s="6" t="str">
        <f aca="false">IF(AND(O23&lt;&gt;"",E23&lt;&gt;"",E23&gt;0),(O23+IF(P23&lt;&gt;"",P23,0))/(E23/100),"")</f>
        <v/>
      </c>
      <c r="T23" s="9"/>
      <c r="U23" s="6" t="str">
        <f aca="false">IF(AND(S23&lt;&gt;"",T23&lt;&gt;""),S23*T23,"")</f>
        <v/>
      </c>
      <c r="V23" s="6"/>
      <c r="W23" s="9"/>
      <c r="X23" s="9"/>
      <c r="Y23" s="9"/>
      <c r="Z23" s="6" t="str">
        <f aca="false">IF(AND(S23&lt;&gt;"",Y23&lt;&gt;"",Y23&gt;0),(S23-Y23)/Y23,"")</f>
        <v/>
      </c>
      <c r="AA23" s="6" t="str">
        <f aca="false">IF(AND(S23&lt;&gt;"",Y23&lt;&gt;"",T23&lt;&gt;""),MAX(0,(S23-Y23)*T23),"")</f>
        <v/>
      </c>
      <c r="AB23" s="9"/>
    </row>
    <row r="24" customFormat="false" ht="15" hidden="false" customHeight="true" outlineLevel="0" collapsed="false">
      <c r="A24" s="15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6" t="str">
        <f aca="false">IF(AND(O24&lt;&gt;"",E24&lt;&gt;"",E24&gt;0),O24/(E24/100),"")</f>
        <v/>
      </c>
      <c r="S24" s="6" t="str">
        <f aca="false">IF(AND(O24&lt;&gt;"",E24&lt;&gt;"",E24&gt;0),(O24+IF(P24&lt;&gt;"",P24,0))/(E24/100),"")</f>
        <v/>
      </c>
      <c r="T24" s="9"/>
      <c r="U24" s="6" t="str">
        <f aca="false">IF(AND(S24&lt;&gt;"",T24&lt;&gt;""),S24*T24,"")</f>
        <v/>
      </c>
      <c r="V24" s="6"/>
      <c r="W24" s="9"/>
      <c r="X24" s="9"/>
      <c r="Y24" s="9"/>
      <c r="Z24" s="6" t="str">
        <f aca="false">IF(AND(S24&lt;&gt;"",Y24&lt;&gt;"",Y24&gt;0),(S24-Y24)/Y24,"")</f>
        <v/>
      </c>
      <c r="AA24" s="6" t="str">
        <f aca="false">IF(AND(S24&lt;&gt;"",Y24&lt;&gt;"",T24&lt;&gt;""),MAX(0,(S24-Y24)*T24),"")</f>
        <v/>
      </c>
      <c r="AB24" s="9"/>
    </row>
    <row r="25" customFormat="false" ht="15" hidden="false" customHeight="true" outlineLevel="0" collapsed="false">
      <c r="A25" s="15" t="n">
        <v>21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6" t="str">
        <f aca="false">IF(AND(O25&lt;&gt;"",E25&lt;&gt;"",E25&gt;0),O25/(E25/100),"")</f>
        <v/>
      </c>
      <c r="S25" s="6" t="str">
        <f aca="false">IF(AND(O25&lt;&gt;"",E25&lt;&gt;"",E25&gt;0),(O25+IF(P25&lt;&gt;"",P25,0))/(E25/100),"")</f>
        <v/>
      </c>
      <c r="T25" s="9"/>
      <c r="U25" s="6" t="str">
        <f aca="false">IF(AND(S25&lt;&gt;"",T25&lt;&gt;""),S25*T25,"")</f>
        <v/>
      </c>
      <c r="V25" s="6"/>
      <c r="W25" s="9"/>
      <c r="X25" s="9"/>
      <c r="Y25" s="9"/>
      <c r="Z25" s="6" t="str">
        <f aca="false">IF(AND(S25&lt;&gt;"",Y25&lt;&gt;"",Y25&gt;0),(S25-Y25)/Y25,"")</f>
        <v/>
      </c>
      <c r="AA25" s="6" t="str">
        <f aca="false">IF(AND(S25&lt;&gt;"",Y25&lt;&gt;"",T25&lt;&gt;""),MAX(0,(S25-Y25)*T25),"")</f>
        <v/>
      </c>
      <c r="AB25" s="9"/>
    </row>
    <row r="26" customFormat="false" ht="15" hidden="false" customHeight="true" outlineLevel="0" collapsed="false">
      <c r="A26" s="15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6" t="str">
        <f aca="false">IF(AND(O26&lt;&gt;"",E26&lt;&gt;"",E26&gt;0),O26/(E26/100),"")</f>
        <v/>
      </c>
      <c r="S26" s="6" t="str">
        <f aca="false">IF(AND(O26&lt;&gt;"",E26&lt;&gt;"",E26&gt;0),(O26+IF(P26&lt;&gt;"",P26,0))/(E26/100),"")</f>
        <v/>
      </c>
      <c r="T26" s="9"/>
      <c r="U26" s="6" t="str">
        <f aca="false">IF(AND(S26&lt;&gt;"",T26&lt;&gt;""),S26*T26,"")</f>
        <v/>
      </c>
      <c r="V26" s="6"/>
      <c r="W26" s="9"/>
      <c r="X26" s="9"/>
      <c r="Y26" s="9"/>
      <c r="Z26" s="6" t="str">
        <f aca="false">IF(AND(S26&lt;&gt;"",Y26&lt;&gt;"",Y26&gt;0),(S26-Y26)/Y26,"")</f>
        <v/>
      </c>
      <c r="AA26" s="6" t="str">
        <f aca="false">IF(AND(S26&lt;&gt;"",Y26&lt;&gt;"",T26&lt;&gt;""),MAX(0,(S26-Y26)*T26),"")</f>
        <v/>
      </c>
      <c r="AB26" s="9"/>
    </row>
    <row r="27" customFormat="false" ht="15" hidden="false" customHeight="true" outlineLevel="0" collapsed="false">
      <c r="A27" s="15" t="n">
        <v>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6" t="str">
        <f aca="false">IF(AND(O27&lt;&gt;"",E27&lt;&gt;"",E27&gt;0),O27/(E27/100),"")</f>
        <v/>
      </c>
      <c r="S27" s="6" t="str">
        <f aca="false">IF(AND(O27&lt;&gt;"",E27&lt;&gt;"",E27&gt;0),(O27+IF(P27&lt;&gt;"",P27,0))/(E27/100),"")</f>
        <v/>
      </c>
      <c r="T27" s="9"/>
      <c r="U27" s="6" t="str">
        <f aca="false">IF(AND(S27&lt;&gt;"",T27&lt;&gt;""),S27*T27,"")</f>
        <v/>
      </c>
      <c r="V27" s="6"/>
      <c r="W27" s="9"/>
      <c r="X27" s="9"/>
      <c r="Y27" s="9"/>
      <c r="Z27" s="6" t="str">
        <f aca="false">IF(AND(S27&lt;&gt;"",Y27&lt;&gt;"",Y27&gt;0),(S27-Y27)/Y27,"")</f>
        <v/>
      </c>
      <c r="AA27" s="6" t="str">
        <f aca="false">IF(AND(S27&lt;&gt;"",Y27&lt;&gt;"",T27&lt;&gt;""),MAX(0,(S27-Y27)*T27),"")</f>
        <v/>
      </c>
      <c r="AB27" s="9"/>
    </row>
    <row r="28" customFormat="false" ht="15" hidden="false" customHeight="true" outlineLevel="0" collapsed="false">
      <c r="A28" s="15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6" t="str">
        <f aca="false">IF(AND(O28&lt;&gt;"",E28&lt;&gt;"",E28&gt;0),O28/(E28/100),"")</f>
        <v/>
      </c>
      <c r="S28" s="6" t="str">
        <f aca="false">IF(AND(O28&lt;&gt;"",E28&lt;&gt;"",E28&gt;0),(O28+IF(P28&lt;&gt;"",P28,0))/(E28/100),"")</f>
        <v/>
      </c>
      <c r="T28" s="9"/>
      <c r="U28" s="6" t="str">
        <f aca="false">IF(AND(S28&lt;&gt;"",T28&lt;&gt;""),S28*T28,"")</f>
        <v/>
      </c>
      <c r="V28" s="6"/>
      <c r="W28" s="9"/>
      <c r="X28" s="9"/>
      <c r="Y28" s="9"/>
      <c r="Z28" s="6" t="str">
        <f aca="false">IF(AND(S28&lt;&gt;"",Y28&lt;&gt;"",Y28&gt;0),(S28-Y28)/Y28,"")</f>
        <v/>
      </c>
      <c r="AA28" s="6" t="str">
        <f aca="false">IF(AND(S28&lt;&gt;"",Y28&lt;&gt;"",T28&lt;&gt;""),MAX(0,(S28-Y28)*T28),"")</f>
        <v/>
      </c>
      <c r="AB28" s="9"/>
    </row>
    <row r="29" customFormat="false" ht="15" hidden="false" customHeight="true" outlineLevel="0" collapsed="false">
      <c r="A29" s="15" t="n">
        <v>25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6" t="str">
        <f aca="false">IF(AND(O29&lt;&gt;"",E29&lt;&gt;"",E29&gt;0),O29/(E29/100),"")</f>
        <v/>
      </c>
      <c r="S29" s="6" t="str">
        <f aca="false">IF(AND(O29&lt;&gt;"",E29&lt;&gt;"",E29&gt;0),(O29+IF(P29&lt;&gt;"",P29,0))/(E29/100),"")</f>
        <v/>
      </c>
      <c r="T29" s="9"/>
      <c r="U29" s="6" t="str">
        <f aca="false">IF(AND(S29&lt;&gt;"",T29&lt;&gt;""),S29*T29,"")</f>
        <v/>
      </c>
      <c r="V29" s="6"/>
      <c r="W29" s="9"/>
      <c r="X29" s="9"/>
      <c r="Y29" s="9"/>
      <c r="Z29" s="6" t="str">
        <f aca="false">IF(AND(S29&lt;&gt;"",Y29&lt;&gt;"",Y29&gt;0),(S29-Y29)/Y29,"")</f>
        <v/>
      </c>
      <c r="AA29" s="6" t="str">
        <f aca="false">IF(AND(S29&lt;&gt;"",Y29&lt;&gt;"",T29&lt;&gt;""),MAX(0,(S29-Y29)*T29),"")</f>
        <v/>
      </c>
      <c r="AB29" s="9"/>
    </row>
    <row r="30" customFormat="false" ht="15" hidden="false" customHeight="true" outlineLevel="0" collapsed="false">
      <c r="A30" s="15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6" t="str">
        <f aca="false">IF(AND(O30&lt;&gt;"",E30&lt;&gt;"",E30&gt;0),O30/(E30/100),"")</f>
        <v/>
      </c>
      <c r="S30" s="6" t="str">
        <f aca="false">IF(AND(O30&lt;&gt;"",E30&lt;&gt;"",E30&gt;0),(O30+IF(P30&lt;&gt;"",P30,0))/(E30/100),"")</f>
        <v/>
      </c>
      <c r="T30" s="9"/>
      <c r="U30" s="6" t="str">
        <f aca="false">IF(AND(S30&lt;&gt;"",T30&lt;&gt;""),S30*T30,"")</f>
        <v/>
      </c>
      <c r="V30" s="6"/>
      <c r="W30" s="9"/>
      <c r="X30" s="9"/>
      <c r="Y30" s="9"/>
      <c r="Z30" s="6" t="str">
        <f aca="false">IF(AND(S30&lt;&gt;"",Y30&lt;&gt;"",Y30&gt;0),(S30-Y30)/Y30,"")</f>
        <v/>
      </c>
      <c r="AA30" s="6" t="str">
        <f aca="false">IF(AND(S30&lt;&gt;"",Y30&lt;&gt;"",T30&lt;&gt;""),MAX(0,(S30-Y30)*T30),"")</f>
        <v/>
      </c>
      <c r="AB30" s="9"/>
    </row>
    <row r="31" customFormat="false" ht="15" hidden="false" customHeight="true" outlineLevel="0" collapsed="false">
      <c r="A31" s="15" t="n">
        <v>27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6" t="str">
        <f aca="false">IF(AND(O31&lt;&gt;"",E31&lt;&gt;"",E31&gt;0),O31/(E31/100),"")</f>
        <v/>
      </c>
      <c r="S31" s="6" t="str">
        <f aca="false">IF(AND(O31&lt;&gt;"",E31&lt;&gt;"",E31&gt;0),(O31+IF(P31&lt;&gt;"",P31,0))/(E31/100),"")</f>
        <v/>
      </c>
      <c r="T31" s="9"/>
      <c r="U31" s="6" t="str">
        <f aca="false">IF(AND(S31&lt;&gt;"",T31&lt;&gt;""),S31*T31,"")</f>
        <v/>
      </c>
      <c r="V31" s="6"/>
      <c r="W31" s="9"/>
      <c r="X31" s="9"/>
      <c r="Y31" s="9"/>
      <c r="Z31" s="6" t="str">
        <f aca="false">IF(AND(S31&lt;&gt;"",Y31&lt;&gt;"",Y31&gt;0),(S31-Y31)/Y31,"")</f>
        <v/>
      </c>
      <c r="AA31" s="6" t="str">
        <f aca="false">IF(AND(S31&lt;&gt;"",Y31&lt;&gt;"",T31&lt;&gt;""),MAX(0,(S31-Y31)*T31),"")</f>
        <v/>
      </c>
      <c r="AB31" s="9"/>
    </row>
    <row r="32" customFormat="false" ht="15" hidden="false" customHeight="true" outlineLevel="0" collapsed="false">
      <c r="A32" s="15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6" t="str">
        <f aca="false">IF(AND(O32&lt;&gt;"",E32&lt;&gt;"",E32&gt;0),O32/(E32/100),"")</f>
        <v/>
      </c>
      <c r="S32" s="6" t="str">
        <f aca="false">IF(AND(O32&lt;&gt;"",E32&lt;&gt;"",E32&gt;0),(O32+IF(P32&lt;&gt;"",P32,0))/(E32/100),"")</f>
        <v/>
      </c>
      <c r="T32" s="9"/>
      <c r="U32" s="6" t="str">
        <f aca="false">IF(AND(S32&lt;&gt;"",T32&lt;&gt;""),S32*T32,"")</f>
        <v/>
      </c>
      <c r="V32" s="6"/>
      <c r="W32" s="9"/>
      <c r="X32" s="9"/>
      <c r="Y32" s="9"/>
      <c r="Z32" s="6" t="str">
        <f aca="false">IF(AND(S32&lt;&gt;"",Y32&lt;&gt;"",Y32&gt;0),(S32-Y32)/Y32,"")</f>
        <v/>
      </c>
      <c r="AA32" s="6" t="str">
        <f aca="false">IF(AND(S32&lt;&gt;"",Y32&lt;&gt;"",T32&lt;&gt;""),MAX(0,(S32-Y32)*T32),"")</f>
        <v/>
      </c>
      <c r="AB32" s="9"/>
    </row>
    <row r="33" customFormat="false" ht="15" hidden="false" customHeight="true" outlineLevel="0" collapsed="false">
      <c r="A33" s="15" t="n">
        <v>29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6" t="str">
        <f aca="false">IF(AND(O33&lt;&gt;"",E33&lt;&gt;"",E33&gt;0),O33/(E33/100),"")</f>
        <v/>
      </c>
      <c r="S33" s="6" t="str">
        <f aca="false">IF(AND(O33&lt;&gt;"",E33&lt;&gt;"",E33&gt;0),(O33+IF(P33&lt;&gt;"",P33,0))/(E33/100),"")</f>
        <v/>
      </c>
      <c r="T33" s="9"/>
      <c r="U33" s="6" t="str">
        <f aca="false">IF(AND(S33&lt;&gt;"",T33&lt;&gt;""),S33*T33,"")</f>
        <v/>
      </c>
      <c r="V33" s="6"/>
      <c r="W33" s="9"/>
      <c r="X33" s="9"/>
      <c r="Y33" s="9"/>
      <c r="Z33" s="6" t="str">
        <f aca="false">IF(AND(S33&lt;&gt;"",Y33&lt;&gt;"",Y33&gt;0),(S33-Y33)/Y33,"")</f>
        <v/>
      </c>
      <c r="AA33" s="6" t="str">
        <f aca="false">IF(AND(S33&lt;&gt;"",Y33&lt;&gt;"",T33&lt;&gt;""),MAX(0,(S33-Y33)*T33),"")</f>
        <v/>
      </c>
      <c r="AB33" s="9"/>
    </row>
    <row r="34" customFormat="false" ht="15" hidden="false" customHeight="true" outlineLevel="0" collapsed="false">
      <c r="A34" s="15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6" t="str">
        <f aca="false">IF(AND(O34&lt;&gt;"",E34&lt;&gt;"",E34&gt;0),O34/(E34/100),"")</f>
        <v/>
      </c>
      <c r="S34" s="6" t="str">
        <f aca="false">IF(AND(O34&lt;&gt;"",E34&lt;&gt;"",E34&gt;0),(O34+IF(P34&lt;&gt;"",P34,0))/(E34/100),"")</f>
        <v/>
      </c>
      <c r="T34" s="9"/>
      <c r="U34" s="6" t="str">
        <f aca="false">IF(AND(S34&lt;&gt;"",T34&lt;&gt;""),S34*T34,"")</f>
        <v/>
      </c>
      <c r="V34" s="6"/>
      <c r="W34" s="9"/>
      <c r="X34" s="9"/>
      <c r="Y34" s="9"/>
      <c r="Z34" s="6" t="str">
        <f aca="false">IF(AND(S34&lt;&gt;"",Y34&lt;&gt;"",Y34&gt;0),(S34-Y34)/Y34,"")</f>
        <v/>
      </c>
      <c r="AA34" s="6" t="str">
        <f aca="false">IF(AND(S34&lt;&gt;"",Y34&lt;&gt;"",T34&lt;&gt;""),MAX(0,(S34-Y34)*T34),"")</f>
        <v/>
      </c>
      <c r="AB34" s="9"/>
    </row>
    <row r="35" customFormat="false" ht="15" hidden="false" customHeight="true" outlineLevel="0" collapsed="false">
      <c r="A35" s="15" t="n">
        <v>31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6" t="str">
        <f aca="false">IF(AND(O35&lt;&gt;"",E35&lt;&gt;"",E35&gt;0),O35/(E35/100),"")</f>
        <v/>
      </c>
      <c r="S35" s="6" t="str">
        <f aca="false">IF(AND(O35&lt;&gt;"",E35&lt;&gt;"",E35&gt;0),(O35+IF(P35&lt;&gt;"",P35,0))/(E35/100),"")</f>
        <v/>
      </c>
      <c r="T35" s="9"/>
      <c r="U35" s="6" t="str">
        <f aca="false">IF(AND(S35&lt;&gt;"",T35&lt;&gt;""),S35*T35,"")</f>
        <v/>
      </c>
      <c r="V35" s="6"/>
      <c r="W35" s="9"/>
      <c r="X35" s="9"/>
      <c r="Y35" s="9"/>
      <c r="Z35" s="6" t="str">
        <f aca="false">IF(AND(S35&lt;&gt;"",Y35&lt;&gt;"",Y35&gt;0),(S35-Y35)/Y35,"")</f>
        <v/>
      </c>
      <c r="AA35" s="6" t="str">
        <f aca="false">IF(AND(S35&lt;&gt;"",Y35&lt;&gt;"",T35&lt;&gt;""),MAX(0,(S35-Y35)*T35),"")</f>
        <v/>
      </c>
      <c r="AB35" s="9"/>
    </row>
    <row r="36" customFormat="false" ht="15" hidden="false" customHeight="true" outlineLevel="0" collapsed="false">
      <c r="A36" s="15" t="n">
        <v>32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6" t="str">
        <f aca="false">IF(AND(O36&lt;&gt;"",E36&lt;&gt;"",E36&gt;0),O36/(E36/100),"")</f>
        <v/>
      </c>
      <c r="S36" s="6" t="str">
        <f aca="false">IF(AND(O36&lt;&gt;"",E36&lt;&gt;"",E36&gt;0),(O36+IF(P36&lt;&gt;"",P36,0))/(E36/100),"")</f>
        <v/>
      </c>
      <c r="T36" s="9"/>
      <c r="U36" s="6" t="str">
        <f aca="false">IF(AND(S36&lt;&gt;"",T36&lt;&gt;""),S36*T36,"")</f>
        <v/>
      </c>
      <c r="V36" s="6"/>
      <c r="W36" s="9"/>
      <c r="X36" s="9"/>
      <c r="Y36" s="9"/>
      <c r="Z36" s="6" t="str">
        <f aca="false">IF(AND(S36&lt;&gt;"",Y36&lt;&gt;"",Y36&gt;0),(S36-Y36)/Y36,"")</f>
        <v/>
      </c>
      <c r="AA36" s="6" t="str">
        <f aca="false">IF(AND(S36&lt;&gt;"",Y36&lt;&gt;"",T36&lt;&gt;""),MAX(0,(S36-Y36)*T36),"")</f>
        <v/>
      </c>
      <c r="AB36" s="9"/>
    </row>
    <row r="37" customFormat="false" ht="15" hidden="false" customHeight="true" outlineLevel="0" collapsed="false">
      <c r="A37" s="15" t="n">
        <v>33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6" t="str">
        <f aca="false">IF(AND(O37&lt;&gt;"",E37&lt;&gt;"",E37&gt;0),O37/(E37/100),"")</f>
        <v/>
      </c>
      <c r="S37" s="6" t="str">
        <f aca="false">IF(AND(O37&lt;&gt;"",E37&lt;&gt;"",E37&gt;0),(O37+IF(P37&lt;&gt;"",P37,0))/(E37/100),"")</f>
        <v/>
      </c>
      <c r="T37" s="9"/>
      <c r="U37" s="6" t="str">
        <f aca="false">IF(AND(S37&lt;&gt;"",T37&lt;&gt;""),S37*T37,"")</f>
        <v/>
      </c>
      <c r="V37" s="6"/>
      <c r="W37" s="9"/>
      <c r="X37" s="9"/>
      <c r="Y37" s="9"/>
      <c r="Z37" s="6" t="str">
        <f aca="false">IF(AND(S37&lt;&gt;"",Y37&lt;&gt;"",Y37&gt;0),(S37-Y37)/Y37,"")</f>
        <v/>
      </c>
      <c r="AA37" s="6" t="str">
        <f aca="false">IF(AND(S37&lt;&gt;"",Y37&lt;&gt;"",T37&lt;&gt;""),MAX(0,(S37-Y37)*T37),"")</f>
        <v/>
      </c>
      <c r="AB37" s="9"/>
    </row>
    <row r="38" customFormat="false" ht="15" hidden="false" customHeight="true" outlineLevel="0" collapsed="false">
      <c r="A38" s="15" t="n">
        <v>34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6" t="str">
        <f aca="false">IF(AND(O38&lt;&gt;"",E38&lt;&gt;"",E38&gt;0),O38/(E38/100),"")</f>
        <v/>
      </c>
      <c r="S38" s="6" t="str">
        <f aca="false">IF(AND(O38&lt;&gt;"",E38&lt;&gt;"",E38&gt;0),(O38+IF(P38&lt;&gt;"",P38,0))/(E38/100),"")</f>
        <v/>
      </c>
      <c r="T38" s="9"/>
      <c r="U38" s="6" t="str">
        <f aca="false">IF(AND(S38&lt;&gt;"",T38&lt;&gt;""),S38*T38,"")</f>
        <v/>
      </c>
      <c r="V38" s="6"/>
      <c r="W38" s="9"/>
      <c r="X38" s="9"/>
      <c r="Y38" s="9"/>
      <c r="Z38" s="6" t="str">
        <f aca="false">IF(AND(S38&lt;&gt;"",Y38&lt;&gt;"",Y38&gt;0),(S38-Y38)/Y38,"")</f>
        <v/>
      </c>
      <c r="AA38" s="6" t="str">
        <f aca="false">IF(AND(S38&lt;&gt;"",Y38&lt;&gt;"",T38&lt;&gt;""),MAX(0,(S38-Y38)*T38),"")</f>
        <v/>
      </c>
      <c r="AB38" s="9"/>
    </row>
    <row r="39" customFormat="false" ht="15" hidden="false" customHeight="true" outlineLevel="0" collapsed="false">
      <c r="A39" s="15" t="n">
        <v>35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6" t="str">
        <f aca="false">IF(AND(O39&lt;&gt;"",E39&lt;&gt;"",E39&gt;0),O39/(E39/100),"")</f>
        <v/>
      </c>
      <c r="S39" s="6" t="str">
        <f aca="false">IF(AND(O39&lt;&gt;"",E39&lt;&gt;"",E39&gt;0),(O39+IF(P39&lt;&gt;"",P39,0))/(E39/100),"")</f>
        <v/>
      </c>
      <c r="T39" s="9"/>
      <c r="U39" s="6" t="str">
        <f aca="false">IF(AND(S39&lt;&gt;"",T39&lt;&gt;""),S39*T39,"")</f>
        <v/>
      </c>
      <c r="V39" s="6"/>
      <c r="W39" s="9"/>
      <c r="X39" s="9"/>
      <c r="Y39" s="9"/>
      <c r="Z39" s="6" t="str">
        <f aca="false">IF(AND(S39&lt;&gt;"",Y39&lt;&gt;"",Y39&gt;0),(S39-Y39)/Y39,"")</f>
        <v/>
      </c>
      <c r="AA39" s="6" t="str">
        <f aca="false">IF(AND(S39&lt;&gt;"",Y39&lt;&gt;"",T39&lt;&gt;""),MAX(0,(S39-Y39)*T39),"")</f>
        <v/>
      </c>
      <c r="AB39" s="9"/>
    </row>
    <row r="40" customFormat="false" ht="15" hidden="false" customHeight="true" outlineLevel="0" collapsed="false">
      <c r="A40" s="15" t="n">
        <v>36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6" t="str">
        <f aca="false">IF(AND(O40&lt;&gt;"",E40&lt;&gt;"",E40&gt;0),O40/(E40/100),"")</f>
        <v/>
      </c>
      <c r="S40" s="6" t="str">
        <f aca="false">IF(AND(O40&lt;&gt;"",E40&lt;&gt;"",E40&gt;0),(O40+IF(P40&lt;&gt;"",P40,0))/(E40/100),"")</f>
        <v/>
      </c>
      <c r="T40" s="9"/>
      <c r="U40" s="6" t="str">
        <f aca="false">IF(AND(S40&lt;&gt;"",T40&lt;&gt;""),S40*T40,"")</f>
        <v/>
      </c>
      <c r="V40" s="6"/>
      <c r="W40" s="9"/>
      <c r="X40" s="9"/>
      <c r="Y40" s="9"/>
      <c r="Z40" s="6" t="str">
        <f aca="false">IF(AND(S40&lt;&gt;"",Y40&lt;&gt;"",Y40&gt;0),(S40-Y40)/Y40,"")</f>
        <v/>
      </c>
      <c r="AA40" s="6" t="str">
        <f aca="false">IF(AND(S40&lt;&gt;"",Y40&lt;&gt;"",T40&lt;&gt;""),MAX(0,(S40-Y40)*T40),"")</f>
        <v/>
      </c>
      <c r="AB40" s="9"/>
    </row>
    <row r="41" customFormat="false" ht="15" hidden="false" customHeight="true" outlineLevel="0" collapsed="false">
      <c r="A41" s="15" t="n">
        <v>37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6" t="str">
        <f aca="false">IF(AND(O41&lt;&gt;"",E41&lt;&gt;"",E41&gt;0),O41/(E41/100),"")</f>
        <v/>
      </c>
      <c r="S41" s="6" t="str">
        <f aca="false">IF(AND(O41&lt;&gt;"",E41&lt;&gt;"",E41&gt;0),(O41+IF(P41&lt;&gt;"",P41,0))/(E41/100),"")</f>
        <v/>
      </c>
      <c r="T41" s="9"/>
      <c r="U41" s="6" t="str">
        <f aca="false">IF(AND(S41&lt;&gt;"",T41&lt;&gt;""),S41*T41,"")</f>
        <v/>
      </c>
      <c r="V41" s="6"/>
      <c r="W41" s="9"/>
      <c r="X41" s="9"/>
      <c r="Y41" s="9"/>
      <c r="Z41" s="6" t="str">
        <f aca="false">IF(AND(S41&lt;&gt;"",Y41&lt;&gt;"",Y41&gt;0),(S41-Y41)/Y41,"")</f>
        <v/>
      </c>
      <c r="AA41" s="6" t="str">
        <f aca="false">IF(AND(S41&lt;&gt;"",Y41&lt;&gt;"",T41&lt;&gt;""),MAX(0,(S41-Y41)*T41),"")</f>
        <v/>
      </c>
      <c r="AB41" s="9"/>
    </row>
    <row r="42" customFormat="false" ht="15" hidden="false" customHeight="true" outlineLevel="0" collapsed="false">
      <c r="A42" s="15" t="n">
        <v>38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6" t="str">
        <f aca="false">IF(AND(O42&lt;&gt;"",E42&lt;&gt;"",E42&gt;0),O42/(E42/100),"")</f>
        <v/>
      </c>
      <c r="S42" s="6" t="str">
        <f aca="false">IF(AND(O42&lt;&gt;"",E42&lt;&gt;"",E42&gt;0),(O42+IF(P42&lt;&gt;"",P42,0))/(E42/100),"")</f>
        <v/>
      </c>
      <c r="T42" s="9"/>
      <c r="U42" s="6" t="str">
        <f aca="false">IF(AND(S42&lt;&gt;"",T42&lt;&gt;""),S42*T42,"")</f>
        <v/>
      </c>
      <c r="V42" s="6"/>
      <c r="W42" s="9"/>
      <c r="X42" s="9"/>
      <c r="Y42" s="9"/>
      <c r="Z42" s="6" t="str">
        <f aca="false">IF(AND(S42&lt;&gt;"",Y42&lt;&gt;"",Y42&gt;0),(S42-Y42)/Y42,"")</f>
        <v/>
      </c>
      <c r="AA42" s="6" t="str">
        <f aca="false">IF(AND(S42&lt;&gt;"",Y42&lt;&gt;"",T42&lt;&gt;""),MAX(0,(S42-Y42)*T42),"")</f>
        <v/>
      </c>
      <c r="AB42" s="9"/>
    </row>
    <row r="43" customFormat="false" ht="15" hidden="false" customHeight="true" outlineLevel="0" collapsed="false">
      <c r="A43" s="15" t="n">
        <v>39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6" t="str">
        <f aca="false">IF(AND(O43&lt;&gt;"",E43&lt;&gt;"",E43&gt;0),O43/(E43/100),"")</f>
        <v/>
      </c>
      <c r="S43" s="6" t="str">
        <f aca="false">IF(AND(O43&lt;&gt;"",E43&lt;&gt;"",E43&gt;0),(O43+IF(P43&lt;&gt;"",P43,0))/(E43/100),"")</f>
        <v/>
      </c>
      <c r="T43" s="9"/>
      <c r="U43" s="6" t="str">
        <f aca="false">IF(AND(S43&lt;&gt;"",T43&lt;&gt;""),S43*T43,"")</f>
        <v/>
      </c>
      <c r="V43" s="6"/>
      <c r="W43" s="9"/>
      <c r="X43" s="9"/>
      <c r="Y43" s="9"/>
      <c r="Z43" s="6" t="str">
        <f aca="false">IF(AND(S43&lt;&gt;"",Y43&lt;&gt;"",Y43&gt;0),(S43-Y43)/Y43,"")</f>
        <v/>
      </c>
      <c r="AA43" s="6" t="str">
        <f aca="false">IF(AND(S43&lt;&gt;"",Y43&lt;&gt;"",T43&lt;&gt;""),MAX(0,(S43-Y43)*T43),"")</f>
        <v/>
      </c>
      <c r="AB43" s="9"/>
    </row>
    <row r="44" customFormat="false" ht="15" hidden="false" customHeight="true" outlineLevel="0" collapsed="false">
      <c r="A44" s="15" t="n">
        <v>40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6" t="str">
        <f aca="false">IF(AND(O44&lt;&gt;"",E44&lt;&gt;"",E44&gt;0),O44/(E44/100),"")</f>
        <v/>
      </c>
      <c r="S44" s="6" t="str">
        <f aca="false">IF(AND(O44&lt;&gt;"",E44&lt;&gt;"",E44&gt;0),(O44+IF(P44&lt;&gt;"",P44,0))/(E44/100),"")</f>
        <v/>
      </c>
      <c r="T44" s="9"/>
      <c r="U44" s="6" t="str">
        <f aca="false">IF(AND(S44&lt;&gt;"",T44&lt;&gt;""),S44*T44,"")</f>
        <v/>
      </c>
      <c r="V44" s="6"/>
      <c r="W44" s="9"/>
      <c r="X44" s="9"/>
      <c r="Y44" s="9"/>
      <c r="Z44" s="6" t="str">
        <f aca="false">IF(AND(S44&lt;&gt;"",Y44&lt;&gt;"",Y44&gt;0),(S44-Y44)/Y44,"")</f>
        <v/>
      </c>
      <c r="AA44" s="6" t="str">
        <f aca="false">IF(AND(S44&lt;&gt;"",Y44&lt;&gt;"",T44&lt;&gt;""),MAX(0,(S44-Y44)*T44),"")</f>
        <v/>
      </c>
      <c r="AB44" s="9"/>
    </row>
    <row r="45" customFormat="false" ht="15" hidden="false" customHeight="true" outlineLevel="0" collapsed="false">
      <c r="A45" s="15" t="n">
        <v>41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6" t="str">
        <f aca="false">IF(AND(O45&lt;&gt;"",E45&lt;&gt;"",E45&gt;0),O45/(E45/100),"")</f>
        <v/>
      </c>
      <c r="S45" s="6" t="str">
        <f aca="false">IF(AND(O45&lt;&gt;"",E45&lt;&gt;"",E45&gt;0),(O45+IF(P45&lt;&gt;"",P45,0))/(E45/100),"")</f>
        <v/>
      </c>
      <c r="T45" s="9"/>
      <c r="U45" s="6" t="str">
        <f aca="false">IF(AND(S45&lt;&gt;"",T45&lt;&gt;""),S45*T45,"")</f>
        <v/>
      </c>
      <c r="V45" s="6"/>
      <c r="W45" s="9"/>
      <c r="X45" s="9"/>
      <c r="Y45" s="9"/>
      <c r="Z45" s="6" t="str">
        <f aca="false">IF(AND(S45&lt;&gt;"",Y45&lt;&gt;"",Y45&gt;0),(S45-Y45)/Y45,"")</f>
        <v/>
      </c>
      <c r="AA45" s="6" t="str">
        <f aca="false">IF(AND(S45&lt;&gt;"",Y45&lt;&gt;"",T45&lt;&gt;""),MAX(0,(S45-Y45)*T45),"")</f>
        <v/>
      </c>
      <c r="AB45" s="9"/>
    </row>
    <row r="46" customFormat="false" ht="15" hidden="false" customHeight="true" outlineLevel="0" collapsed="false">
      <c r="A46" s="15" t="n">
        <v>42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6" t="str">
        <f aca="false">IF(AND(O46&lt;&gt;"",E46&lt;&gt;"",E46&gt;0),O46/(E46/100),"")</f>
        <v/>
      </c>
      <c r="S46" s="6" t="str">
        <f aca="false">IF(AND(O46&lt;&gt;"",E46&lt;&gt;"",E46&gt;0),(O46+IF(P46&lt;&gt;"",P46,0))/(E46/100),"")</f>
        <v/>
      </c>
      <c r="T46" s="9"/>
      <c r="U46" s="6" t="str">
        <f aca="false">IF(AND(S46&lt;&gt;"",T46&lt;&gt;""),S46*T46,"")</f>
        <v/>
      </c>
      <c r="V46" s="6"/>
      <c r="W46" s="9"/>
      <c r="X46" s="9"/>
      <c r="Y46" s="9"/>
      <c r="Z46" s="6" t="str">
        <f aca="false">IF(AND(S46&lt;&gt;"",Y46&lt;&gt;"",Y46&gt;0),(S46-Y46)/Y46,"")</f>
        <v/>
      </c>
      <c r="AA46" s="6" t="str">
        <f aca="false">IF(AND(S46&lt;&gt;"",Y46&lt;&gt;"",T46&lt;&gt;""),MAX(0,(S46-Y46)*T46),"")</f>
        <v/>
      </c>
      <c r="AB46" s="9"/>
    </row>
    <row r="47" customFormat="false" ht="15" hidden="false" customHeight="true" outlineLevel="0" collapsed="false">
      <c r="A47" s="15" t="n">
        <v>43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6" t="str">
        <f aca="false">IF(AND(O47&lt;&gt;"",E47&lt;&gt;"",E47&gt;0),O47/(E47/100),"")</f>
        <v/>
      </c>
      <c r="S47" s="6" t="str">
        <f aca="false">IF(AND(O47&lt;&gt;"",E47&lt;&gt;"",E47&gt;0),(O47+IF(P47&lt;&gt;"",P47,0))/(E47/100),"")</f>
        <v/>
      </c>
      <c r="T47" s="9"/>
      <c r="U47" s="6" t="str">
        <f aca="false">IF(AND(S47&lt;&gt;"",T47&lt;&gt;""),S47*T47,"")</f>
        <v/>
      </c>
      <c r="V47" s="6"/>
      <c r="W47" s="9"/>
      <c r="X47" s="9"/>
      <c r="Y47" s="9"/>
      <c r="Z47" s="6" t="str">
        <f aca="false">IF(AND(S47&lt;&gt;"",Y47&lt;&gt;"",Y47&gt;0),(S47-Y47)/Y47,"")</f>
        <v/>
      </c>
      <c r="AA47" s="6" t="str">
        <f aca="false">IF(AND(S47&lt;&gt;"",Y47&lt;&gt;"",T47&lt;&gt;""),MAX(0,(S47-Y47)*T47),"")</f>
        <v/>
      </c>
      <c r="AB47" s="9"/>
    </row>
    <row r="48" customFormat="false" ht="15" hidden="false" customHeight="true" outlineLevel="0" collapsed="false">
      <c r="A48" s="15" t="n">
        <v>44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6" t="str">
        <f aca="false">IF(AND(O48&lt;&gt;"",E48&lt;&gt;"",E48&gt;0),O48/(E48/100),"")</f>
        <v/>
      </c>
      <c r="S48" s="6" t="str">
        <f aca="false">IF(AND(O48&lt;&gt;"",E48&lt;&gt;"",E48&gt;0),(O48+IF(P48&lt;&gt;"",P48,0))/(E48/100),"")</f>
        <v/>
      </c>
      <c r="T48" s="9"/>
      <c r="U48" s="6" t="str">
        <f aca="false">IF(AND(S48&lt;&gt;"",T48&lt;&gt;""),S48*T48,"")</f>
        <v/>
      </c>
      <c r="V48" s="6"/>
      <c r="W48" s="9"/>
      <c r="X48" s="9"/>
      <c r="Y48" s="9"/>
      <c r="Z48" s="6" t="str">
        <f aca="false">IF(AND(S48&lt;&gt;"",Y48&lt;&gt;"",Y48&gt;0),(S48-Y48)/Y48,"")</f>
        <v/>
      </c>
      <c r="AA48" s="6" t="str">
        <f aca="false">IF(AND(S48&lt;&gt;"",Y48&lt;&gt;"",T48&lt;&gt;""),MAX(0,(S48-Y48)*T48),"")</f>
        <v/>
      </c>
      <c r="AB48" s="9"/>
    </row>
    <row r="49" customFormat="false" ht="15" hidden="false" customHeight="true" outlineLevel="0" collapsed="false">
      <c r="A49" s="15" t="n">
        <v>45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6" t="str">
        <f aca="false">IF(AND(O49&lt;&gt;"",E49&lt;&gt;"",E49&gt;0),O49/(E49/100),"")</f>
        <v/>
      </c>
      <c r="S49" s="6" t="str">
        <f aca="false">IF(AND(O49&lt;&gt;"",E49&lt;&gt;"",E49&gt;0),(O49+IF(P49&lt;&gt;"",P49,0))/(E49/100),"")</f>
        <v/>
      </c>
      <c r="T49" s="9"/>
      <c r="U49" s="6" t="str">
        <f aca="false">IF(AND(S49&lt;&gt;"",T49&lt;&gt;""),S49*T49,"")</f>
        <v/>
      </c>
      <c r="V49" s="6"/>
      <c r="W49" s="9"/>
      <c r="X49" s="9"/>
      <c r="Y49" s="9"/>
      <c r="Z49" s="6" t="str">
        <f aca="false">IF(AND(S49&lt;&gt;"",Y49&lt;&gt;"",Y49&gt;0),(S49-Y49)/Y49,"")</f>
        <v/>
      </c>
      <c r="AA49" s="6" t="str">
        <f aca="false">IF(AND(S49&lt;&gt;"",Y49&lt;&gt;"",T49&lt;&gt;""),MAX(0,(S49-Y49)*T49),"")</f>
        <v/>
      </c>
      <c r="AB49" s="9"/>
    </row>
    <row r="50" customFormat="false" ht="15" hidden="false" customHeight="true" outlineLevel="0" collapsed="false">
      <c r="A50" s="15" t="n">
        <v>46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6" t="str">
        <f aca="false">IF(AND(O50&lt;&gt;"",E50&lt;&gt;"",E50&gt;0),O50/(E50/100),"")</f>
        <v/>
      </c>
      <c r="S50" s="6" t="str">
        <f aca="false">IF(AND(O50&lt;&gt;"",E50&lt;&gt;"",E50&gt;0),(O50+IF(P50&lt;&gt;"",P50,0))/(E50/100),"")</f>
        <v/>
      </c>
      <c r="T50" s="9"/>
      <c r="U50" s="6" t="str">
        <f aca="false">IF(AND(S50&lt;&gt;"",T50&lt;&gt;""),S50*T50,"")</f>
        <v/>
      </c>
      <c r="V50" s="6"/>
      <c r="W50" s="9"/>
      <c r="X50" s="9"/>
      <c r="Y50" s="9"/>
      <c r="Z50" s="6" t="str">
        <f aca="false">IF(AND(S50&lt;&gt;"",Y50&lt;&gt;"",Y50&gt;0),(S50-Y50)/Y50,"")</f>
        <v/>
      </c>
      <c r="AA50" s="6" t="str">
        <f aca="false">IF(AND(S50&lt;&gt;"",Y50&lt;&gt;"",T50&lt;&gt;""),MAX(0,(S50-Y50)*T50),"")</f>
        <v/>
      </c>
      <c r="AB50" s="9"/>
    </row>
    <row r="51" customFormat="false" ht="15" hidden="false" customHeight="true" outlineLevel="0" collapsed="false">
      <c r="A51" s="15" t="n">
        <v>47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6" t="str">
        <f aca="false">IF(AND(O51&lt;&gt;"",E51&lt;&gt;"",E51&gt;0),O51/(E51/100),"")</f>
        <v/>
      </c>
      <c r="S51" s="6" t="str">
        <f aca="false">IF(AND(O51&lt;&gt;"",E51&lt;&gt;"",E51&gt;0),(O51+IF(P51&lt;&gt;"",P51,0))/(E51/100),"")</f>
        <v/>
      </c>
      <c r="T51" s="9"/>
      <c r="U51" s="6" t="str">
        <f aca="false">IF(AND(S51&lt;&gt;"",T51&lt;&gt;""),S51*T51,"")</f>
        <v/>
      </c>
      <c r="V51" s="6"/>
      <c r="W51" s="9"/>
      <c r="X51" s="9"/>
      <c r="Y51" s="9"/>
      <c r="Z51" s="6" t="str">
        <f aca="false">IF(AND(S51&lt;&gt;"",Y51&lt;&gt;"",Y51&gt;0),(S51-Y51)/Y51,"")</f>
        <v/>
      </c>
      <c r="AA51" s="6" t="str">
        <f aca="false">IF(AND(S51&lt;&gt;"",Y51&lt;&gt;"",T51&lt;&gt;""),MAX(0,(S51-Y51)*T51),"")</f>
        <v/>
      </c>
      <c r="AB51" s="9"/>
    </row>
    <row r="52" customFormat="false" ht="15" hidden="false" customHeight="true" outlineLevel="0" collapsed="false">
      <c r="A52" s="15" t="n">
        <v>48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6" t="str">
        <f aca="false">IF(AND(O52&lt;&gt;"",E52&lt;&gt;"",E52&gt;0),O52/(E52/100),"")</f>
        <v/>
      </c>
      <c r="S52" s="6" t="str">
        <f aca="false">IF(AND(O52&lt;&gt;"",E52&lt;&gt;"",E52&gt;0),(O52+IF(P52&lt;&gt;"",P52,0))/(E52/100),"")</f>
        <v/>
      </c>
      <c r="T52" s="9"/>
      <c r="U52" s="6" t="str">
        <f aca="false">IF(AND(S52&lt;&gt;"",T52&lt;&gt;""),S52*T52,"")</f>
        <v/>
      </c>
      <c r="V52" s="6"/>
      <c r="W52" s="9"/>
      <c r="X52" s="9"/>
      <c r="Y52" s="9"/>
      <c r="Z52" s="6" t="str">
        <f aca="false">IF(AND(S52&lt;&gt;"",Y52&lt;&gt;"",Y52&gt;0),(S52-Y52)/Y52,"")</f>
        <v/>
      </c>
      <c r="AA52" s="6" t="str">
        <f aca="false">IF(AND(S52&lt;&gt;"",Y52&lt;&gt;"",T52&lt;&gt;""),MAX(0,(S52-Y52)*T52),"")</f>
        <v/>
      </c>
      <c r="AB52" s="9"/>
    </row>
    <row r="53" customFormat="false" ht="15" hidden="false" customHeight="true" outlineLevel="0" collapsed="false">
      <c r="A53" s="15" t="n">
        <v>49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6" t="str">
        <f aca="false">IF(AND(O53&lt;&gt;"",E53&lt;&gt;"",E53&gt;0),O53/(E53/100),"")</f>
        <v/>
      </c>
      <c r="S53" s="6" t="str">
        <f aca="false">IF(AND(O53&lt;&gt;"",E53&lt;&gt;"",E53&gt;0),(O53+IF(P53&lt;&gt;"",P53,0))/(E53/100),"")</f>
        <v/>
      </c>
      <c r="T53" s="9"/>
      <c r="U53" s="6" t="str">
        <f aca="false">IF(AND(S53&lt;&gt;"",T53&lt;&gt;""),S53*T53,"")</f>
        <v/>
      </c>
      <c r="V53" s="6"/>
      <c r="W53" s="9"/>
      <c r="X53" s="9"/>
      <c r="Y53" s="9"/>
      <c r="Z53" s="6" t="str">
        <f aca="false">IF(AND(S53&lt;&gt;"",Y53&lt;&gt;"",Y53&gt;0),(S53-Y53)/Y53,"")</f>
        <v/>
      </c>
      <c r="AA53" s="6" t="str">
        <f aca="false">IF(AND(S53&lt;&gt;"",Y53&lt;&gt;"",T53&lt;&gt;""),MAX(0,(S53-Y53)*T53),"")</f>
        <v/>
      </c>
      <c r="AB53" s="9"/>
    </row>
    <row r="54" customFormat="false" ht="15" hidden="false" customHeight="true" outlineLevel="0" collapsed="false">
      <c r="A54" s="15" t="n">
        <v>50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6" t="str">
        <f aca="false">IF(AND(O54&lt;&gt;"",E54&lt;&gt;"",E54&gt;0),O54/(E54/100),"")</f>
        <v/>
      </c>
      <c r="S54" s="6" t="str">
        <f aca="false">IF(AND(O54&lt;&gt;"",E54&lt;&gt;"",E54&gt;0),(O54+IF(P54&lt;&gt;"",P54,0))/(E54/100),"")</f>
        <v/>
      </c>
      <c r="T54" s="9"/>
      <c r="U54" s="6" t="str">
        <f aca="false">IF(AND(S54&lt;&gt;"",T54&lt;&gt;""),S54*T54,"")</f>
        <v/>
      </c>
      <c r="V54" s="6"/>
      <c r="W54" s="9"/>
      <c r="X54" s="9"/>
      <c r="Y54" s="9"/>
      <c r="Z54" s="6" t="str">
        <f aca="false">IF(AND(S54&lt;&gt;"",Y54&lt;&gt;"",Y54&gt;0),(S54-Y54)/Y54,"")</f>
        <v/>
      </c>
      <c r="AA54" s="6" t="str">
        <f aca="false">IF(AND(S54&lt;&gt;"",Y54&lt;&gt;"",T54&lt;&gt;""),MAX(0,(S54-Y54)*T54),"")</f>
        <v/>
      </c>
      <c r="AB54" s="9"/>
    </row>
    <row r="55" customFormat="false" ht="15" hidden="false" customHeight="true" outlineLevel="0" collapsed="false">
      <c r="S55" s="16" t="s">
        <v>89</v>
      </c>
      <c r="T55" s="17" t="n">
        <f aca="false">SUM(T5:T54)</f>
        <v>0</v>
      </c>
      <c r="U55" s="17" t="n">
        <f aca="false">SUM(U5:U54)</f>
        <v>0</v>
      </c>
      <c r="AA55" s="18" t="n">
        <f aca="false">SUM(AA5:AA54)</f>
        <v>0</v>
      </c>
    </row>
    <row r="57" customFormat="false" ht="423" hidden="false" customHeight="true" outlineLevel="0" collapsed="false">
      <c r="A57" s="19" t="s">
        <v>90</v>
      </c>
    </row>
    <row r="58" customFormat="false" ht="306" hidden="false" customHeight="true" outlineLevel="0" collapsed="false">
      <c r="A58" s="19" t="s">
        <v>91</v>
      </c>
    </row>
    <row r="59" customFormat="false" ht="306" hidden="false" customHeight="true" outlineLevel="0" collapsed="false">
      <c r="A59" s="19" t="s">
        <v>92</v>
      </c>
    </row>
  </sheetData>
  <autoFilter ref="A4:AB54"/>
  <mergeCells count="8">
    <mergeCell ref="A1:AB1"/>
    <mergeCell ref="B3:I3"/>
    <mergeCell ref="J3:L3"/>
    <mergeCell ref="M3:N3"/>
    <mergeCell ref="O3:S3"/>
    <mergeCell ref="T3:U3"/>
    <mergeCell ref="W3:X3"/>
    <mergeCell ref="Y3:AA3"/>
  </mergeCells>
  <dataValidations count="6">
    <dataValidation allowBlank="true" errorStyle="stop" operator="between" prompt="Seleccione familia" promptTitle="Familia" showDropDown="false" showErrorMessage="false" showInputMessage="false" sqref="B5:B54" type="list">
      <formula1>"Ácidos,Bases/Álcalis,Desinfectantes/Oxidantes,Floculantes/Coagulantes,Disolventes,Detergentes/Tensoactivos,Especialidades,Otros"</formula1>
      <formula2>0</formula2>
    </dataValidation>
    <dataValidation allowBlank="true" errorStyle="stop" operator="between" showDropDown="false" showErrorMessage="false" showInputMessage="false" sqref="H5:H54" type="list">
      <formula1>"Commodity,Semi-especialidad,Especialidad"</formula1>
      <formula2>0</formula2>
    </dataValidation>
    <dataValidation allowBlank="true" errorStyle="stop" operator="between" showDropDown="false" showErrorMessage="false" showInputMessage="false" sqref="L5:L54" type="list">
      <formula1>"Fijo,Indexado,Spot (sin contrato)"</formula1>
      <formula2>0</formula2>
    </dataValidation>
    <dataValidation allowBlank="true" errorStyle="stop" operator="between" showDropDown="false" showErrorMessage="false" showInputMessage="false" sqref="M5:M54" type="list">
      <formula1>"Bidón/Garrafa,IBC 1000L,Contenedor 20-24tm,Cisterna,Big-bag,Saco,Otro"</formula1>
      <formula2>0</formula2>
    </dataValidation>
    <dataValidation allowBlank="true" errorStyle="stop" operator="between" showDropDown="false" showErrorMessage="false" showInputMessage="false" sqref="Q5:Q54" type="list">
      <formula1>"EXW,FCA,DAP,DDP,Otro"</formula1>
      <formula2>0</formula2>
    </dataValidation>
    <dataValidation allowBlank="true" errorStyle="stop" operator="between" showDropDown="false" showErrorMessage="false" showInputMessage="false" sqref="F5:F54" type="list">
      <formula1>"Industrial,Alimentario,Farmacéutico,Técnico,ACS (agua consumo humano),Otro"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8"/>
    <col collapsed="false" customWidth="true" hidden="false" outlineLevel="0" max="5" min="5" style="1" width="10"/>
    <col collapsed="false" customWidth="true" hidden="false" outlineLevel="0" max="10" min="6" style="1" width="8"/>
    <col collapsed="false" customWidth="true" hidden="false" outlineLevel="0" max="12" min="11" style="1" width="18"/>
    <col collapsed="false" customWidth="true" hidden="false" outlineLevel="0" max="13" min="13" style="1" width="10"/>
    <col collapsed="false" customWidth="true" hidden="false" outlineLevel="0" max="15" min="14" style="1" width="22"/>
    <col collapsed="false" customWidth="true" hidden="false" outlineLevel="0" max="16" min="16" style="1" width="10"/>
  </cols>
  <sheetData>
    <row r="1" customFormat="false" ht="17.2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94</v>
      </c>
    </row>
    <row r="3" customFormat="false" ht="15" hidden="false" customHeight="true" outlineLevel="0" collapsed="false">
      <c r="A3" s="7" t="s">
        <v>95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customFormat="false" ht="45.75" hidden="false" customHeight="true" outlineLevel="0" collapsed="false">
      <c r="A4" s="4" t="s">
        <v>62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 t="s">
        <v>103</v>
      </c>
      <c r="J4" s="4" t="s">
        <v>104</v>
      </c>
      <c r="K4" s="4" t="s">
        <v>105</v>
      </c>
      <c r="L4" s="4" t="s">
        <v>106</v>
      </c>
      <c r="M4" s="4" t="s">
        <v>107</v>
      </c>
      <c r="N4" s="4" t="s">
        <v>108</v>
      </c>
      <c r="O4" s="4" t="s">
        <v>109</v>
      </c>
      <c r="P4" s="4" t="s">
        <v>110</v>
      </c>
    </row>
    <row r="5" customFormat="false" ht="15" hidden="false" customHeight="true" outlineLevel="0" collapsed="false">
      <c r="A5" s="15" t="n">
        <v>1</v>
      </c>
      <c r="B5" s="9"/>
      <c r="C5" s="9"/>
      <c r="D5" s="9"/>
      <c r="E5" s="9"/>
      <c r="F5" s="6" t="str">
        <f aca="false">IF(AND(E5&lt;&gt;"",D5&lt;&gt;"",E5&gt;0),IF((E5/(D5-10)*365)&gt;0.07,"NO (&gt;"&amp;TEXT(E5/(D5-10)*365,"0%")&amp;" anualizado)","SÍ ("&amp;TEXT(E5/(D5-10)*365,"0%")&amp;" anualizado)"),"")</f>
        <v/>
      </c>
      <c r="G5" s="9"/>
      <c r="H5" s="9"/>
      <c r="I5" s="9"/>
      <c r="J5" s="9"/>
      <c r="K5" s="9"/>
      <c r="L5" s="9"/>
      <c r="M5" s="9"/>
      <c r="N5" s="9"/>
      <c r="O5" s="9"/>
      <c r="P5" s="9"/>
    </row>
    <row r="6" customFormat="false" ht="15" hidden="false" customHeight="true" outlineLevel="0" collapsed="false">
      <c r="A6" s="15" t="n">
        <v>2</v>
      </c>
      <c r="B6" s="9"/>
      <c r="C6" s="9"/>
      <c r="D6" s="9"/>
      <c r="E6" s="9"/>
      <c r="F6" s="6" t="str">
        <f aca="false">IF(AND(E6&lt;&gt;"",D6&lt;&gt;"",E6&gt;0),IF((E6/(D6-10)*365)&gt;0.07,"NO (&gt;"&amp;TEXT(E6/(D6-10)*365,"0%")&amp;" anualizado)","SÍ ("&amp;TEXT(E6/(D6-10)*365,"0%")&amp;" anualizado)"),"")</f>
        <v/>
      </c>
      <c r="G6" s="9"/>
      <c r="H6" s="9"/>
      <c r="I6" s="9"/>
      <c r="J6" s="9"/>
      <c r="K6" s="9"/>
      <c r="L6" s="9"/>
      <c r="M6" s="9"/>
      <c r="N6" s="9"/>
      <c r="O6" s="9"/>
      <c r="P6" s="9"/>
    </row>
    <row r="7" customFormat="false" ht="15" hidden="false" customHeight="true" outlineLevel="0" collapsed="false">
      <c r="A7" s="15" t="n">
        <v>3</v>
      </c>
      <c r="B7" s="9"/>
      <c r="C7" s="9"/>
      <c r="D7" s="9"/>
      <c r="E7" s="9"/>
      <c r="F7" s="6" t="str">
        <f aca="false">IF(AND(E7&lt;&gt;"",D7&lt;&gt;"",E7&gt;0),IF((E7/(D7-10)*365)&gt;0.07,"NO (&gt;"&amp;TEXT(E7/(D7-10)*365,"0%")&amp;" anualizado)","SÍ ("&amp;TEXT(E7/(D7-10)*365,"0%")&amp;" anualizado)"),"")</f>
        <v/>
      </c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15" hidden="false" customHeight="true" outlineLevel="0" collapsed="false">
      <c r="A8" s="15" t="n">
        <v>4</v>
      </c>
      <c r="B8" s="9"/>
      <c r="C8" s="9"/>
      <c r="D8" s="9"/>
      <c r="E8" s="9"/>
      <c r="F8" s="6" t="str">
        <f aca="false">IF(AND(E8&lt;&gt;"",D8&lt;&gt;"",E8&gt;0),IF((E8/(D8-10)*365)&gt;0.07,"NO (&gt;"&amp;TEXT(E8/(D8-10)*365,"0%")&amp;" anualizado)","SÍ ("&amp;TEXT(E8/(D8-10)*365,"0%")&amp;" anualizado)"),"")</f>
        <v/>
      </c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15" hidden="false" customHeight="true" outlineLevel="0" collapsed="false">
      <c r="A9" s="15" t="n">
        <v>5</v>
      </c>
      <c r="B9" s="9"/>
      <c r="C9" s="9"/>
      <c r="D9" s="9"/>
      <c r="E9" s="9"/>
      <c r="F9" s="6" t="str">
        <f aca="false">IF(AND(E9&lt;&gt;"",D9&lt;&gt;"",E9&gt;0),IF((E9/(D9-10)*365)&gt;0.07,"NO (&gt;"&amp;TEXT(E9/(D9-10)*365,"0%")&amp;" anualizado)","SÍ ("&amp;TEXT(E9/(D9-10)*365,"0%")&amp;" anualizado)"),"")</f>
        <v/>
      </c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15" hidden="false" customHeight="true" outlineLevel="0" collapsed="false">
      <c r="A10" s="15" t="n">
        <v>6</v>
      </c>
      <c r="B10" s="9"/>
      <c r="C10" s="9"/>
      <c r="D10" s="9"/>
      <c r="E10" s="9"/>
      <c r="F10" s="6" t="str">
        <f aca="false">IF(AND(E10&lt;&gt;"",D10&lt;&gt;"",E10&gt;0),IF((E10/(D10-10)*365)&gt;0.07,"NO (&gt;"&amp;TEXT(E10/(D10-10)*365,"0%")&amp;" anualizado)","SÍ ("&amp;TEXT(E10/(D10-10)*365,"0%")&amp;" anualizado)"),"")</f>
        <v/>
      </c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15" hidden="false" customHeight="true" outlineLevel="0" collapsed="false">
      <c r="A11" s="15" t="n">
        <v>7</v>
      </c>
      <c r="B11" s="9"/>
      <c r="C11" s="9"/>
      <c r="D11" s="9"/>
      <c r="E11" s="9"/>
      <c r="F11" s="6" t="str">
        <f aca="false">IF(AND(E11&lt;&gt;"",D11&lt;&gt;"",E11&gt;0),IF((E11/(D11-10)*365)&gt;0.07,"NO (&gt;"&amp;TEXT(E11/(D11-10)*365,"0%")&amp;" anualizado)","SÍ ("&amp;TEXT(E11/(D11-10)*365,"0%")&amp;" anualizado)"),"")</f>
        <v/>
      </c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15" hidden="false" customHeight="true" outlineLevel="0" collapsed="false">
      <c r="A12" s="15" t="n">
        <v>8</v>
      </c>
      <c r="B12" s="9"/>
      <c r="C12" s="9"/>
      <c r="D12" s="9"/>
      <c r="E12" s="9"/>
      <c r="F12" s="6" t="str">
        <f aca="false">IF(AND(E12&lt;&gt;"",D12&lt;&gt;"",E12&gt;0),IF((E12/(D12-10)*365)&gt;0.07,"NO (&gt;"&amp;TEXT(E12/(D12-10)*365,"0%")&amp;" anualizado)","SÍ ("&amp;TEXT(E12/(D12-10)*365,"0%")&amp;" anualizado)"),"")</f>
        <v/>
      </c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15" hidden="false" customHeight="true" outlineLevel="0" collapsed="false">
      <c r="A13" s="15" t="n">
        <v>9</v>
      </c>
      <c r="B13" s="9"/>
      <c r="C13" s="9"/>
      <c r="D13" s="9"/>
      <c r="E13" s="9"/>
      <c r="F13" s="6" t="str">
        <f aca="false">IF(AND(E13&lt;&gt;"",D13&lt;&gt;"",E13&gt;0),IF((E13/(D13-10)*365)&gt;0.07,"NO (&gt;"&amp;TEXT(E13/(D13-10)*365,"0%")&amp;" anualizado)","SÍ ("&amp;TEXT(E13/(D13-10)*365,"0%")&amp;" anualizado)"),"")</f>
        <v/>
      </c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15" hidden="false" customHeight="true" outlineLevel="0" collapsed="false">
      <c r="A14" s="15" t="n">
        <v>10</v>
      </c>
      <c r="B14" s="9"/>
      <c r="C14" s="9"/>
      <c r="D14" s="9"/>
      <c r="E14" s="9"/>
      <c r="F14" s="6" t="str">
        <f aca="false">IF(AND(E14&lt;&gt;"",D14&lt;&gt;"",E14&gt;0),IF((E14/(D14-10)*365)&gt;0.07,"NO (&gt;"&amp;TEXT(E14/(D14-10)*365,"0%")&amp;" anualizado)","SÍ ("&amp;TEXT(E14/(D14-10)*365,"0%")&amp;" anualizado)"),"")</f>
        <v/>
      </c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15" hidden="false" customHeight="true" outlineLevel="0" collapsed="false">
      <c r="A15" s="15" t="n">
        <v>11</v>
      </c>
      <c r="B15" s="9"/>
      <c r="C15" s="9"/>
      <c r="D15" s="9"/>
      <c r="E15" s="9"/>
      <c r="F15" s="6" t="str">
        <f aca="false">IF(AND(E15&lt;&gt;"",D15&lt;&gt;"",E15&gt;0),IF((E15/(D15-10)*365)&gt;0.07,"NO (&gt;"&amp;TEXT(E15/(D15-10)*365,"0%")&amp;" anualizado)","SÍ ("&amp;TEXT(E15/(D15-10)*365,"0%")&amp;" anualizado)"),"")</f>
        <v/>
      </c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15" hidden="false" customHeight="true" outlineLevel="0" collapsed="false">
      <c r="A16" s="15" t="n">
        <v>12</v>
      </c>
      <c r="B16" s="9"/>
      <c r="C16" s="9"/>
      <c r="D16" s="9"/>
      <c r="E16" s="9"/>
      <c r="F16" s="6" t="str">
        <f aca="false">IF(AND(E16&lt;&gt;"",D16&lt;&gt;"",E16&gt;0),IF((E16/(D16-10)*365)&gt;0.07,"NO (&gt;"&amp;TEXT(E16/(D16-10)*365,"0%")&amp;" anualizado)","SÍ ("&amp;TEXT(E16/(D16-10)*365,"0%")&amp;" anualizado)"),"")</f>
        <v/>
      </c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15" hidden="false" customHeight="true" outlineLevel="0" collapsed="false">
      <c r="A17" s="15" t="n">
        <v>13</v>
      </c>
      <c r="B17" s="9"/>
      <c r="C17" s="9"/>
      <c r="D17" s="9"/>
      <c r="E17" s="9"/>
      <c r="F17" s="6" t="str">
        <f aca="false">IF(AND(E17&lt;&gt;"",D17&lt;&gt;"",E17&gt;0),IF((E17/(D17-10)*365)&gt;0.07,"NO (&gt;"&amp;TEXT(E17/(D17-10)*365,"0%")&amp;" anualizado)","SÍ ("&amp;TEXT(E17/(D17-10)*365,"0%")&amp;" anualizado)"),"")</f>
        <v/>
      </c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15" hidden="false" customHeight="true" outlineLevel="0" collapsed="false">
      <c r="A18" s="15" t="n">
        <v>14</v>
      </c>
      <c r="B18" s="9"/>
      <c r="C18" s="9"/>
      <c r="D18" s="9"/>
      <c r="E18" s="9"/>
      <c r="F18" s="6" t="str">
        <f aca="false">IF(AND(E18&lt;&gt;"",D18&lt;&gt;"",E18&gt;0),IF((E18/(D18-10)*365)&gt;0.07,"NO (&gt;"&amp;TEXT(E18/(D18-10)*365,"0%")&amp;" anualizado)","SÍ ("&amp;TEXT(E18/(D18-10)*365,"0%")&amp;" anualizado)"),"")</f>
        <v/>
      </c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15" hidden="false" customHeight="true" outlineLevel="0" collapsed="false">
      <c r="A19" s="15" t="n">
        <v>15</v>
      </c>
      <c r="B19" s="9"/>
      <c r="C19" s="9"/>
      <c r="D19" s="9"/>
      <c r="E19" s="9"/>
      <c r="F19" s="6" t="str">
        <f aca="false">IF(AND(E19&lt;&gt;"",D19&lt;&gt;"",E19&gt;0),IF((E19/(D19-10)*365)&gt;0.07,"NO (&gt;"&amp;TEXT(E19/(D19-10)*365,"0%")&amp;" anualizado)","SÍ ("&amp;TEXT(E19/(D19-10)*365,"0%")&amp;" anualizado)"),"")</f>
        <v/>
      </c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15" hidden="false" customHeight="true" outlineLevel="0" collapsed="false">
      <c r="A20" s="15" t="n">
        <v>16</v>
      </c>
      <c r="B20" s="9"/>
      <c r="C20" s="9"/>
      <c r="D20" s="9"/>
      <c r="E20" s="9"/>
      <c r="F20" s="6" t="str">
        <f aca="false">IF(AND(E20&lt;&gt;"",D20&lt;&gt;"",E20&gt;0),IF((E20/(D20-10)*365)&gt;0.07,"NO (&gt;"&amp;TEXT(E20/(D20-10)*365,"0%")&amp;" anualizado)","SÍ ("&amp;TEXT(E20/(D20-10)*365,"0%")&amp;" anualizado)"),"")</f>
        <v/>
      </c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15" hidden="false" customHeight="true" outlineLevel="0" collapsed="false">
      <c r="A21" s="15" t="n">
        <v>17</v>
      </c>
      <c r="B21" s="9"/>
      <c r="C21" s="9"/>
      <c r="D21" s="9"/>
      <c r="E21" s="9"/>
      <c r="F21" s="6" t="str">
        <f aca="false">IF(AND(E21&lt;&gt;"",D21&lt;&gt;"",E21&gt;0),IF((E21/(D21-10)*365)&gt;0.07,"NO (&gt;"&amp;TEXT(E21/(D21-10)*365,"0%")&amp;" anualizado)","SÍ ("&amp;TEXT(E21/(D21-10)*365,"0%")&amp;" anualizado)"),"")</f>
        <v/>
      </c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15" hidden="false" customHeight="true" outlineLevel="0" collapsed="false">
      <c r="A22" s="15" t="n">
        <v>18</v>
      </c>
      <c r="B22" s="9"/>
      <c r="C22" s="9"/>
      <c r="D22" s="9"/>
      <c r="E22" s="9"/>
      <c r="F22" s="6" t="str">
        <f aca="false">IF(AND(E22&lt;&gt;"",D22&lt;&gt;"",E22&gt;0),IF((E22/(D22-10)*365)&gt;0.07,"NO (&gt;"&amp;TEXT(E22/(D22-10)*365,"0%")&amp;" anualizado)","SÍ ("&amp;TEXT(E22/(D22-10)*365,"0%")&amp;" anualizado)"),"")</f>
        <v/>
      </c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15" hidden="false" customHeight="true" outlineLevel="0" collapsed="false">
      <c r="A23" s="15" t="n">
        <v>19</v>
      </c>
      <c r="B23" s="9"/>
      <c r="C23" s="9"/>
      <c r="D23" s="9"/>
      <c r="E23" s="9"/>
      <c r="F23" s="6" t="str">
        <f aca="false">IF(AND(E23&lt;&gt;"",D23&lt;&gt;"",E23&gt;0),IF((E23/(D23-10)*365)&gt;0.07,"NO (&gt;"&amp;TEXT(E23/(D23-10)*365,"0%")&amp;" anualizado)","SÍ ("&amp;TEXT(E23/(D23-10)*365,"0%")&amp;" anualizado)"),"")</f>
        <v/>
      </c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15" hidden="false" customHeight="true" outlineLevel="0" collapsed="false">
      <c r="A24" s="15" t="n">
        <v>20</v>
      </c>
      <c r="B24" s="9"/>
      <c r="C24" s="9"/>
      <c r="D24" s="9"/>
      <c r="E24" s="9"/>
      <c r="F24" s="6" t="str">
        <f aca="false">IF(AND(E24&lt;&gt;"",D24&lt;&gt;"",E24&gt;0),IF((E24/(D24-10)*365)&gt;0.07,"NO (&gt;"&amp;TEXT(E24/(D24-10)*365,"0%")&amp;" anualizado)","SÍ ("&amp;TEXT(E24/(D24-10)*365,"0%")&amp;" anualizado)"),"")</f>
        <v/>
      </c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15" hidden="false" customHeight="true" outlineLevel="0" collapsed="false">
      <c r="A25" s="15" t="n">
        <v>21</v>
      </c>
      <c r="B25" s="9"/>
      <c r="C25" s="9"/>
      <c r="D25" s="9"/>
      <c r="E25" s="9"/>
      <c r="F25" s="6" t="str">
        <f aca="false">IF(AND(E25&lt;&gt;"",D25&lt;&gt;"",E25&gt;0),IF((E25/(D25-10)*365)&gt;0.07,"NO (&gt;"&amp;TEXT(E25/(D25-10)*365,"0%")&amp;" anualizado)","SÍ ("&amp;TEXT(E25/(D25-10)*365,"0%")&amp;" anualizado)"),"")</f>
        <v/>
      </c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15" hidden="false" customHeight="true" outlineLevel="0" collapsed="false">
      <c r="A26" s="15" t="n">
        <v>22</v>
      </c>
      <c r="B26" s="9"/>
      <c r="C26" s="9"/>
      <c r="D26" s="9"/>
      <c r="E26" s="9"/>
      <c r="F26" s="6" t="str">
        <f aca="false">IF(AND(E26&lt;&gt;"",D26&lt;&gt;"",E26&gt;0),IF((E26/(D26-10)*365)&gt;0.07,"NO (&gt;"&amp;TEXT(E26/(D26-10)*365,"0%")&amp;" anualizado)","SÍ ("&amp;TEXT(E26/(D26-10)*365,"0%")&amp;" anualizado)"),"")</f>
        <v/>
      </c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15" hidden="false" customHeight="true" outlineLevel="0" collapsed="false">
      <c r="A27" s="15" t="n">
        <v>23</v>
      </c>
      <c r="B27" s="9"/>
      <c r="C27" s="9"/>
      <c r="D27" s="9"/>
      <c r="E27" s="9"/>
      <c r="F27" s="6" t="str">
        <f aca="false">IF(AND(E27&lt;&gt;"",D27&lt;&gt;"",E27&gt;0),IF((E27/(D27-10)*365)&gt;0.07,"NO (&gt;"&amp;TEXT(E27/(D27-10)*365,"0%")&amp;" anualizado)","SÍ ("&amp;TEXT(E27/(D27-10)*365,"0%")&amp;" anualizado)"),"")</f>
        <v/>
      </c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15" hidden="false" customHeight="true" outlineLevel="0" collapsed="false">
      <c r="A28" s="15" t="n">
        <v>24</v>
      </c>
      <c r="B28" s="9"/>
      <c r="C28" s="9"/>
      <c r="D28" s="9"/>
      <c r="E28" s="9"/>
      <c r="F28" s="6" t="str">
        <f aca="false">IF(AND(E28&lt;&gt;"",D28&lt;&gt;"",E28&gt;0),IF((E28/(D28-10)*365)&gt;0.07,"NO (&gt;"&amp;TEXT(E28/(D28-10)*365,"0%")&amp;" anualizado)","SÍ ("&amp;TEXT(E28/(D28-10)*365,"0%")&amp;" anualizado)"),"")</f>
        <v/>
      </c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15" hidden="false" customHeight="true" outlineLevel="0" collapsed="false">
      <c r="A29" s="15" t="n">
        <v>25</v>
      </c>
      <c r="B29" s="9"/>
      <c r="C29" s="9"/>
      <c r="D29" s="9"/>
      <c r="E29" s="9"/>
      <c r="F29" s="6" t="str">
        <f aca="false">IF(AND(E29&lt;&gt;"",D29&lt;&gt;"",E29&gt;0),IF((E29/(D29-10)*365)&gt;0.07,"NO (&gt;"&amp;TEXT(E29/(D29-10)*365,"0%")&amp;" anualizado)","SÍ ("&amp;TEXT(E29/(D29-10)*365,"0%")&amp;" anualizado)"),"")</f>
        <v/>
      </c>
      <c r="G29" s="9"/>
      <c r="H29" s="9"/>
      <c r="I29" s="9"/>
      <c r="J29" s="9"/>
      <c r="K29" s="9"/>
      <c r="L29" s="9"/>
      <c r="M29" s="9"/>
      <c r="N29" s="9"/>
      <c r="O29" s="9"/>
      <c r="P29" s="9"/>
    </row>
    <row r="32" customFormat="false" ht="15" hidden="false" customHeight="true" outlineLevel="0" collapsed="false">
      <c r="A32" s="7" t="s">
        <v>111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34.5" hidden="false" customHeight="true" outlineLevel="0" collapsed="false">
      <c r="A33" s="4" t="s">
        <v>62</v>
      </c>
      <c r="B33" s="4" t="s">
        <v>96</v>
      </c>
      <c r="C33" s="4" t="s">
        <v>112</v>
      </c>
      <c r="D33" s="4" t="s">
        <v>77</v>
      </c>
      <c r="E33" s="4" t="s">
        <v>113</v>
      </c>
      <c r="F33" s="4" t="s">
        <v>114</v>
      </c>
      <c r="G33" s="4" t="s">
        <v>115</v>
      </c>
      <c r="H33" s="4" t="s">
        <v>116</v>
      </c>
      <c r="I33" s="4" t="s">
        <v>117</v>
      </c>
      <c r="J33" s="4" t="s">
        <v>118</v>
      </c>
      <c r="K33" s="4" t="s">
        <v>119</v>
      </c>
      <c r="L33" s="4" t="s">
        <v>120</v>
      </c>
      <c r="M33" s="4" t="s">
        <v>121</v>
      </c>
      <c r="N33" s="4" t="s">
        <v>122</v>
      </c>
    </row>
    <row r="34" customFormat="false" ht="15" hidden="false" customHeight="true" outlineLevel="0" collapsed="false">
      <c r="A34" s="15" t="n">
        <v>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15" hidden="false" customHeight="true" outlineLevel="0" collapsed="false">
      <c r="A35" s="15" t="n">
        <v>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5" hidden="false" customHeight="true" outlineLevel="0" collapsed="false">
      <c r="A36" s="15" t="n">
        <v>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customFormat="false" ht="15" hidden="false" customHeight="true" outlineLevel="0" collapsed="false">
      <c r="A37" s="15" t="n">
        <v>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5" hidden="false" customHeight="true" outlineLevel="0" collapsed="false">
      <c r="A38" s="15" t="n">
        <v>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customFormat="false" ht="15" hidden="false" customHeight="true" outlineLevel="0" collapsed="false">
      <c r="A39" s="15" t="n">
        <v>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5" hidden="false" customHeight="true" outlineLevel="0" collapsed="false">
      <c r="A40" s="15" t="n">
        <v>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customFormat="false" ht="15" hidden="false" customHeight="true" outlineLevel="0" collapsed="false">
      <c r="A41" s="15" t="n">
        <v>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5" hidden="false" customHeight="true" outlineLevel="0" collapsed="false">
      <c r="A42" s="15" t="n">
        <v>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customFormat="false" ht="15" hidden="false" customHeight="true" outlineLevel="0" collapsed="false">
      <c r="A43" s="15" t="n">
        <v>10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15" t="n">
        <v>11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customFormat="false" ht="15" hidden="false" customHeight="true" outlineLevel="0" collapsed="false">
      <c r="A45" s="15" t="n">
        <v>12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customFormat="false" ht="15" hidden="false" customHeight="true" outlineLevel="0" collapsed="false">
      <c r="A46" s="15" t="n">
        <v>13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customFormat="false" ht="15" hidden="false" customHeight="true" outlineLevel="0" collapsed="false">
      <c r="A47" s="15" t="n">
        <v>14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customFormat="false" ht="15" hidden="false" customHeight="true" outlineLevel="0" collapsed="false">
      <c r="A48" s="15" t="n">
        <v>15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15" hidden="false" customHeight="true" outlineLevel="0" collapsed="false">
      <c r="A49" s="15" t="n">
        <v>16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customFormat="false" ht="15" hidden="false" customHeight="true" outlineLevel="0" collapsed="false">
      <c r="A50" s="15" t="n">
        <v>17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customFormat="false" ht="15" hidden="false" customHeight="true" outlineLevel="0" collapsed="false">
      <c r="A51" s="15" t="n">
        <v>18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customFormat="false" ht="15" hidden="false" customHeight="true" outlineLevel="0" collapsed="false">
      <c r="A52" s="15" t="n">
        <v>19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customFormat="false" ht="15" hidden="false" customHeight="true" outlineLevel="0" collapsed="false">
      <c r="A53" s="15" t="n">
        <v>20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customFormat="false" ht="15" hidden="false" customHeight="true" outlineLevel="0" collapsed="false">
      <c r="A54" s="15" t="n">
        <v>21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customFormat="false" ht="15" hidden="false" customHeight="true" outlineLevel="0" collapsed="false">
      <c r="A55" s="15" t="n">
        <v>22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customFormat="false" ht="15" hidden="false" customHeight="true" outlineLevel="0" collapsed="false">
      <c r="A56" s="15" t="n">
        <v>23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customFormat="false" ht="15" hidden="false" customHeight="true" outlineLevel="0" collapsed="false">
      <c r="A57" s="15" t="n">
        <v>24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customFormat="false" ht="15" hidden="false" customHeight="true" outlineLevel="0" collapsed="false">
      <c r="A58" s="15" t="n">
        <v>25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61" customFormat="false" ht="15" hidden="false" customHeight="true" outlineLevel="0" collapsed="false">
      <c r="A61" s="7" t="s">
        <v>123</v>
      </c>
      <c r="B61" s="7"/>
      <c r="C61" s="7"/>
      <c r="D61" s="7"/>
      <c r="E61" s="7"/>
      <c r="F61" s="7"/>
      <c r="G61" s="7"/>
      <c r="H61" s="7"/>
      <c r="I61" s="7"/>
      <c r="J61" s="7"/>
    </row>
    <row r="62" customFormat="false" ht="72.75" hidden="false" customHeight="true" outlineLevel="0" collapsed="false">
      <c r="A62" s="19" t="s">
        <v>124</v>
      </c>
    </row>
    <row r="63" customFormat="false" ht="23.25" hidden="false" customHeight="true" outlineLevel="0" collapsed="false">
      <c r="A63" s="4" t="s">
        <v>96</v>
      </c>
      <c r="B63" s="4" t="s">
        <v>125</v>
      </c>
      <c r="C63" s="4" t="s">
        <v>126</v>
      </c>
      <c r="D63" s="4" t="s">
        <v>127</v>
      </c>
      <c r="E63" s="4" t="s">
        <v>128</v>
      </c>
      <c r="F63" s="4" t="s">
        <v>129</v>
      </c>
      <c r="G63" s="4" t="s">
        <v>130</v>
      </c>
      <c r="H63" s="4" t="s">
        <v>131</v>
      </c>
      <c r="I63" s="4" t="s">
        <v>132</v>
      </c>
      <c r="J63" s="4" t="s">
        <v>133</v>
      </c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6" t="str">
        <f aca="false">IF(COUNTA(B64:I64)&gt;0,AVERAGE(B64:I64),"")</f>
        <v/>
      </c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6" t="str">
        <f aca="false">IF(COUNTA(B65:I65)&gt;0,AVERAGE(B65:I65),"")</f>
        <v/>
      </c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6" t="str">
        <f aca="false">IF(COUNTA(B66:I66)&gt;0,AVERAGE(B66:I66),"")</f>
        <v/>
      </c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6" t="str">
        <f aca="false">IF(COUNTA(B67:I67)&gt;0,AVERAGE(B67:I67),"")</f>
        <v/>
      </c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6" t="str">
        <f aca="false">IF(COUNTA(B68:I68)&gt;0,AVERAGE(B68:I68),"")</f>
        <v/>
      </c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6" t="str">
        <f aca="false">IF(COUNTA(B69:I69)&gt;0,AVERAGE(B69:I69),"")</f>
        <v/>
      </c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6" t="str">
        <f aca="false">IF(COUNTA(B70:I70)&gt;0,AVERAGE(B70:I70),"")</f>
        <v/>
      </c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6" t="str">
        <f aca="false">IF(COUNTA(B71:I71)&gt;0,AVERAGE(B71:I71),"")</f>
        <v/>
      </c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6" t="str">
        <f aca="false">IF(COUNTA(B72:I72)&gt;0,AVERAGE(B72:I72),"")</f>
        <v/>
      </c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6" t="str">
        <f aca="false">IF(COUNTA(B73:I73)&gt;0,AVERAGE(B73:I73),"")</f>
        <v/>
      </c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6" t="str">
        <f aca="false">IF(COUNTA(B74:I74)&gt;0,AVERAGE(B74:I74),"")</f>
        <v/>
      </c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6" t="str">
        <f aca="false">IF(COUNTA(B75:I75)&gt;0,AVERAGE(B75:I75),"")</f>
        <v/>
      </c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6" t="str">
        <f aca="false">IF(COUNTA(B76:I76)&gt;0,AVERAGE(B76:I76),"")</f>
        <v/>
      </c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6" t="str">
        <f aca="false">IF(COUNTA(B77:I77)&gt;0,AVERAGE(B77:I77),"")</f>
        <v/>
      </c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6" t="str">
        <f aca="false">IF(COUNTA(B78:I78)&gt;0,AVERAGE(B78:I78),"")</f>
        <v/>
      </c>
    </row>
  </sheetData>
  <mergeCells count="4">
    <mergeCell ref="A1:P1"/>
    <mergeCell ref="A3:P3"/>
    <mergeCell ref="A32:N32"/>
    <mergeCell ref="A61:J61"/>
  </mergeCells>
  <dataValidations count="6">
    <dataValidation allowBlank="true" errorStyle="stop" operator="between" showDropDown="false" showErrorMessage="false" showInputMessage="false" sqref="G5:G29" type="list">
      <formula1>"Sin contrato (spot),1 año,2 años,3 años,Multianual &gt;3,Otro"</formula1>
      <formula2>0</formula2>
    </dataValidation>
    <dataValidation allowBlank="true" errorStyle="stop" operator="between" showDropDown="false" showErrorMessage="false" showInputMessage="false" sqref="J5:J29" type="list">
      <formula1>"Sin compromiso,Take-or-pay rígido,Banda flexible,Volumen estimado no vinculante"</formula1>
      <formula2>0</formula2>
    </dataValidation>
    <dataValidation allowBlank="true" errorStyle="stop" operator="between" showDropDown="false" showErrorMessage="false" showInputMessage="false" sqref="P5:P29" type="list">
      <formula1>"Sí,No,No hay fórmula,N/A"</formula1>
      <formula2>0</formula2>
    </dataValidation>
    <dataValidation allowBlank="true" errorStyle="stop" operator="between" showDropDown="false" showErrorMessage="false" showInputMessage="false" sqref="G34:G58" type="list">
      <formula1>"Sí,No,A negociar"</formula1>
      <formula2>0</formula2>
    </dataValidation>
    <dataValidation allowBlank="true" errorStyle="stop" operator="between" showDropDown="false" showErrorMessage="false" showInputMessage="false" sqref="I34:I58" type="list">
      <formula1>"Sí - cobrado,Existe pero NO cobrado,No existe"</formula1>
      <formula2>0</formula2>
    </dataValidation>
    <dataValidation allowBlank="true" errorStyle="stop" operator="between" showDropDown="false" showErrorMessage="false" showInputMessage="false" sqref="L34:L58" type="list">
      <formula1>"Retorno proveedor,A cargo del cliente (residuo),Granel (sin envases),Otro"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1" min="10" style="1" width="14"/>
    <col collapsed="false" customWidth="true" hidden="false" outlineLevel="0" max="12" min="12" style="1" width="18"/>
    <col collapsed="false" customWidth="true" hidden="false" outlineLevel="0" max="13" min="13" style="1" width="24"/>
    <col collapsed="false" customWidth="true" hidden="false" outlineLevel="0" max="14" min="14" style="1" width="16"/>
  </cols>
  <sheetData>
    <row r="1" customFormat="false" ht="17.25" hidden="false" customHeight="true" outlineLevel="0" collapsed="false">
      <c r="A1" s="2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97.75" hidden="false" customHeight="true" outlineLevel="0" collapsed="false">
      <c r="A2" s="19" t="s">
        <v>135</v>
      </c>
    </row>
    <row r="4" customFormat="false" ht="45.75" hidden="false" customHeight="true" outlineLevel="0" collapsed="false">
      <c r="A4" s="4" t="s">
        <v>62</v>
      </c>
      <c r="B4" s="4" t="s">
        <v>112</v>
      </c>
      <c r="C4" s="4" t="s">
        <v>136</v>
      </c>
      <c r="D4" s="4" t="s">
        <v>66</v>
      </c>
      <c r="E4" s="4" t="s">
        <v>70</v>
      </c>
      <c r="F4" s="4" t="s">
        <v>72</v>
      </c>
      <c r="G4" s="4" t="s">
        <v>137</v>
      </c>
      <c r="H4" s="4" t="s">
        <v>105</v>
      </c>
      <c r="I4" s="4" t="s">
        <v>138</v>
      </c>
      <c r="J4" s="4" t="s">
        <v>139</v>
      </c>
      <c r="K4" s="4" t="s">
        <v>140</v>
      </c>
      <c r="L4" s="4" t="s">
        <v>141</v>
      </c>
      <c r="M4" s="4" t="s">
        <v>142</v>
      </c>
      <c r="N4" s="4" t="s">
        <v>143</v>
      </c>
    </row>
    <row r="5" customFormat="false" ht="15" hidden="false" customHeight="true" outlineLevel="0" collapsed="false">
      <c r="A5" s="15" t="n">
        <v>1</v>
      </c>
      <c r="B5" s="9"/>
      <c r="C5" s="9"/>
      <c r="D5" s="9"/>
      <c r="E5" s="9"/>
      <c r="F5" s="9"/>
      <c r="G5" s="9"/>
      <c r="H5" s="9"/>
      <c r="I5" s="9"/>
      <c r="J5" s="6" t="str">
        <f aca="false">IF(AND(I5&lt;&gt;"",D5&lt;&gt;"",D5&gt;0),I5/(D5/100),"")</f>
        <v/>
      </c>
      <c r="K5" s="9"/>
      <c r="L5" s="9"/>
      <c r="M5" s="6" t="str">
        <f aca="false">IF(F5="Fijo","(Baseline fijo - Precio nuevo fijo) × Vol. real",IF(F5="Indexado","(Prima anterior - Prima nueva) × Vol. real","N/A"))</f>
        <v>N/A</v>
      </c>
      <c r="N5" s="9"/>
    </row>
    <row r="6" customFormat="false" ht="15" hidden="false" customHeight="true" outlineLevel="0" collapsed="false">
      <c r="A6" s="15" t="n">
        <v>2</v>
      </c>
      <c r="B6" s="9"/>
      <c r="C6" s="9"/>
      <c r="D6" s="9"/>
      <c r="E6" s="9"/>
      <c r="F6" s="9"/>
      <c r="G6" s="9"/>
      <c r="H6" s="9"/>
      <c r="I6" s="9"/>
      <c r="J6" s="6" t="str">
        <f aca="false">IF(AND(I6&lt;&gt;"",D6&lt;&gt;"",D6&gt;0),I6/(D6/100),"")</f>
        <v/>
      </c>
      <c r="K6" s="9"/>
      <c r="L6" s="9"/>
      <c r="M6" s="6" t="str">
        <f aca="false">IF(F6="Fijo","(Baseline fijo - Precio nuevo fijo) × Vol. real",IF(F6="Indexado","(Prima anterior - Prima nueva) × Vol. real","N/A"))</f>
        <v>N/A</v>
      </c>
      <c r="N6" s="9"/>
    </row>
    <row r="7" customFormat="false" ht="15" hidden="false" customHeight="true" outlineLevel="0" collapsed="false">
      <c r="A7" s="15" t="n">
        <v>3</v>
      </c>
      <c r="B7" s="9"/>
      <c r="C7" s="9"/>
      <c r="D7" s="9"/>
      <c r="E7" s="9"/>
      <c r="F7" s="9"/>
      <c r="G7" s="9"/>
      <c r="H7" s="9"/>
      <c r="I7" s="9"/>
      <c r="J7" s="6" t="str">
        <f aca="false">IF(AND(I7&lt;&gt;"",D7&lt;&gt;"",D7&gt;0),I7/(D7/100),"")</f>
        <v/>
      </c>
      <c r="K7" s="9"/>
      <c r="L7" s="9"/>
      <c r="M7" s="6" t="str">
        <f aca="false">IF(F7="Fijo","(Baseline fijo - Precio nuevo fijo) × Vol. real",IF(F7="Indexado","(Prima anterior - Prima nueva) × Vol. real","N/A"))</f>
        <v>N/A</v>
      </c>
      <c r="N7" s="9"/>
    </row>
    <row r="8" customFormat="false" ht="15" hidden="false" customHeight="true" outlineLevel="0" collapsed="false">
      <c r="A8" s="15" t="n">
        <v>4</v>
      </c>
      <c r="B8" s="9"/>
      <c r="C8" s="9"/>
      <c r="D8" s="9"/>
      <c r="E8" s="9"/>
      <c r="F8" s="9"/>
      <c r="G8" s="9"/>
      <c r="H8" s="9"/>
      <c r="I8" s="9"/>
      <c r="J8" s="6" t="str">
        <f aca="false">IF(AND(I8&lt;&gt;"",D8&lt;&gt;"",D8&gt;0),I8/(D8/100),"")</f>
        <v/>
      </c>
      <c r="K8" s="9"/>
      <c r="L8" s="9"/>
      <c r="M8" s="6" t="str">
        <f aca="false">IF(F8="Fijo","(Baseline fijo - Precio nuevo fijo) × Vol. real",IF(F8="Indexado","(Prima anterior - Prima nueva) × Vol. real","N/A"))</f>
        <v>N/A</v>
      </c>
      <c r="N8" s="9"/>
    </row>
    <row r="9" customFormat="false" ht="15" hidden="false" customHeight="true" outlineLevel="0" collapsed="false">
      <c r="A9" s="15" t="n">
        <v>5</v>
      </c>
      <c r="B9" s="9"/>
      <c r="C9" s="9"/>
      <c r="D9" s="9"/>
      <c r="E9" s="9"/>
      <c r="F9" s="9"/>
      <c r="G9" s="9"/>
      <c r="H9" s="9"/>
      <c r="I9" s="9"/>
      <c r="J9" s="6" t="str">
        <f aca="false">IF(AND(I9&lt;&gt;"",D9&lt;&gt;"",D9&gt;0),I9/(D9/100),"")</f>
        <v/>
      </c>
      <c r="K9" s="9"/>
      <c r="L9" s="9"/>
      <c r="M9" s="6" t="str">
        <f aca="false">IF(F9="Fijo","(Baseline fijo - Precio nuevo fijo) × Vol. real",IF(F9="Indexado","(Prima anterior - Prima nueva) × Vol. real","N/A"))</f>
        <v>N/A</v>
      </c>
      <c r="N9" s="9"/>
    </row>
    <row r="10" customFormat="false" ht="15" hidden="false" customHeight="true" outlineLevel="0" collapsed="false">
      <c r="A10" s="15" t="n">
        <v>6</v>
      </c>
      <c r="B10" s="9"/>
      <c r="C10" s="9"/>
      <c r="D10" s="9"/>
      <c r="E10" s="9"/>
      <c r="F10" s="9"/>
      <c r="G10" s="9"/>
      <c r="H10" s="9"/>
      <c r="I10" s="9"/>
      <c r="J10" s="6" t="str">
        <f aca="false">IF(AND(I10&lt;&gt;"",D10&lt;&gt;"",D10&gt;0),I10/(D10/100),"")</f>
        <v/>
      </c>
      <c r="K10" s="9"/>
      <c r="L10" s="9"/>
      <c r="M10" s="6" t="str">
        <f aca="false">IF(F10="Fijo","(Baseline fijo - Precio nuevo fijo) × Vol. real",IF(F10="Indexado","(Prima anterior - Prima nueva) × Vol. real","N/A"))</f>
        <v>N/A</v>
      </c>
      <c r="N10" s="9"/>
    </row>
    <row r="11" customFormat="false" ht="15" hidden="false" customHeight="true" outlineLevel="0" collapsed="false">
      <c r="A11" s="15" t="n">
        <v>7</v>
      </c>
      <c r="B11" s="9"/>
      <c r="C11" s="9"/>
      <c r="D11" s="9"/>
      <c r="E11" s="9"/>
      <c r="F11" s="9"/>
      <c r="G11" s="9"/>
      <c r="H11" s="9"/>
      <c r="I11" s="9"/>
      <c r="J11" s="6" t="str">
        <f aca="false">IF(AND(I11&lt;&gt;"",D11&lt;&gt;"",D11&gt;0),I11/(D11/100),"")</f>
        <v/>
      </c>
      <c r="K11" s="9"/>
      <c r="L11" s="9"/>
      <c r="M11" s="6" t="str">
        <f aca="false">IF(F11="Fijo","(Baseline fijo - Precio nuevo fijo) × Vol. real",IF(F11="Indexado","(Prima anterior - Prima nueva) × Vol. real","N/A"))</f>
        <v>N/A</v>
      </c>
      <c r="N11" s="9"/>
    </row>
    <row r="12" customFormat="false" ht="15" hidden="false" customHeight="true" outlineLevel="0" collapsed="false">
      <c r="A12" s="15" t="n">
        <v>8</v>
      </c>
      <c r="B12" s="9"/>
      <c r="C12" s="9"/>
      <c r="D12" s="9"/>
      <c r="E12" s="9"/>
      <c r="F12" s="9"/>
      <c r="G12" s="9"/>
      <c r="H12" s="9"/>
      <c r="I12" s="9"/>
      <c r="J12" s="6" t="str">
        <f aca="false">IF(AND(I12&lt;&gt;"",D12&lt;&gt;"",D12&gt;0),I12/(D12/100),"")</f>
        <v/>
      </c>
      <c r="K12" s="9"/>
      <c r="L12" s="9"/>
      <c r="M12" s="6" t="str">
        <f aca="false">IF(F12="Fijo","(Baseline fijo - Precio nuevo fijo) × Vol. real",IF(F12="Indexado","(Prima anterior - Prima nueva) × Vol. real","N/A"))</f>
        <v>N/A</v>
      </c>
      <c r="N12" s="9"/>
    </row>
    <row r="13" customFormat="false" ht="15" hidden="false" customHeight="true" outlineLevel="0" collapsed="false">
      <c r="A13" s="15" t="n">
        <v>9</v>
      </c>
      <c r="B13" s="9"/>
      <c r="C13" s="9"/>
      <c r="D13" s="9"/>
      <c r="E13" s="9"/>
      <c r="F13" s="9"/>
      <c r="G13" s="9"/>
      <c r="H13" s="9"/>
      <c r="I13" s="9"/>
      <c r="J13" s="6" t="str">
        <f aca="false">IF(AND(I13&lt;&gt;"",D13&lt;&gt;"",D13&gt;0),I13/(D13/100),"")</f>
        <v/>
      </c>
      <c r="K13" s="9"/>
      <c r="L13" s="9"/>
      <c r="M13" s="6" t="str">
        <f aca="false">IF(F13="Fijo","(Baseline fijo - Precio nuevo fijo) × Vol. real",IF(F13="Indexado","(Prima anterior - Prima nueva) × Vol. real","N/A"))</f>
        <v>N/A</v>
      </c>
      <c r="N13" s="9"/>
    </row>
    <row r="14" customFormat="false" ht="15" hidden="false" customHeight="true" outlineLevel="0" collapsed="false">
      <c r="A14" s="15" t="n">
        <v>10</v>
      </c>
      <c r="B14" s="9"/>
      <c r="C14" s="9"/>
      <c r="D14" s="9"/>
      <c r="E14" s="9"/>
      <c r="F14" s="9"/>
      <c r="G14" s="9"/>
      <c r="H14" s="9"/>
      <c r="I14" s="9"/>
      <c r="J14" s="6" t="str">
        <f aca="false">IF(AND(I14&lt;&gt;"",D14&lt;&gt;"",D14&gt;0),I14/(D14/100),"")</f>
        <v/>
      </c>
      <c r="K14" s="9"/>
      <c r="L14" s="9"/>
      <c r="M14" s="6" t="str">
        <f aca="false">IF(F14="Fijo","(Baseline fijo - Precio nuevo fijo) × Vol. real",IF(F14="Indexado","(Prima anterior - Prima nueva) × Vol. real","N/A"))</f>
        <v>N/A</v>
      </c>
      <c r="N14" s="9"/>
    </row>
    <row r="15" customFormat="false" ht="15" hidden="false" customHeight="true" outlineLevel="0" collapsed="false">
      <c r="A15" s="15" t="n">
        <v>11</v>
      </c>
      <c r="B15" s="9"/>
      <c r="C15" s="9"/>
      <c r="D15" s="9"/>
      <c r="E15" s="9"/>
      <c r="F15" s="9"/>
      <c r="G15" s="9"/>
      <c r="H15" s="9"/>
      <c r="I15" s="9"/>
      <c r="J15" s="6" t="str">
        <f aca="false">IF(AND(I15&lt;&gt;"",D15&lt;&gt;"",D15&gt;0),I15/(D15/100),"")</f>
        <v/>
      </c>
      <c r="K15" s="9"/>
      <c r="L15" s="9"/>
      <c r="M15" s="6" t="str">
        <f aca="false">IF(F15="Fijo","(Baseline fijo - Precio nuevo fijo) × Vol. real",IF(F15="Indexado","(Prima anterior - Prima nueva) × Vol. real","N/A"))</f>
        <v>N/A</v>
      </c>
      <c r="N15" s="9"/>
    </row>
    <row r="16" customFormat="false" ht="15" hidden="false" customHeight="true" outlineLevel="0" collapsed="false">
      <c r="A16" s="15" t="n">
        <v>12</v>
      </c>
      <c r="B16" s="9"/>
      <c r="C16" s="9"/>
      <c r="D16" s="9"/>
      <c r="E16" s="9"/>
      <c r="F16" s="9"/>
      <c r="G16" s="9"/>
      <c r="H16" s="9"/>
      <c r="I16" s="9"/>
      <c r="J16" s="6" t="str">
        <f aca="false">IF(AND(I16&lt;&gt;"",D16&lt;&gt;"",D16&gt;0),I16/(D16/100),"")</f>
        <v/>
      </c>
      <c r="K16" s="9"/>
      <c r="L16" s="9"/>
      <c r="M16" s="6" t="str">
        <f aca="false">IF(F16="Fijo","(Baseline fijo - Precio nuevo fijo) × Vol. real",IF(F16="Indexado","(Prima anterior - Prima nueva) × Vol. real","N/A"))</f>
        <v>N/A</v>
      </c>
      <c r="N16" s="9"/>
    </row>
    <row r="17" customFormat="false" ht="15" hidden="false" customHeight="true" outlineLevel="0" collapsed="false">
      <c r="A17" s="15" t="n">
        <v>13</v>
      </c>
      <c r="B17" s="9"/>
      <c r="C17" s="9"/>
      <c r="D17" s="9"/>
      <c r="E17" s="9"/>
      <c r="F17" s="9"/>
      <c r="G17" s="9"/>
      <c r="H17" s="9"/>
      <c r="I17" s="9"/>
      <c r="J17" s="6" t="str">
        <f aca="false">IF(AND(I17&lt;&gt;"",D17&lt;&gt;"",D17&gt;0),I17/(D17/100),"")</f>
        <v/>
      </c>
      <c r="K17" s="9"/>
      <c r="L17" s="9"/>
      <c r="M17" s="6" t="str">
        <f aca="false">IF(F17="Fijo","(Baseline fijo - Precio nuevo fijo) × Vol. real",IF(F17="Indexado","(Prima anterior - Prima nueva) × Vol. real","N/A"))</f>
        <v>N/A</v>
      </c>
      <c r="N17" s="9"/>
    </row>
    <row r="18" customFormat="false" ht="15" hidden="false" customHeight="true" outlineLevel="0" collapsed="false">
      <c r="A18" s="15" t="n">
        <v>14</v>
      </c>
      <c r="B18" s="9"/>
      <c r="C18" s="9"/>
      <c r="D18" s="9"/>
      <c r="E18" s="9"/>
      <c r="F18" s="9"/>
      <c r="G18" s="9"/>
      <c r="H18" s="9"/>
      <c r="I18" s="9"/>
      <c r="J18" s="6" t="str">
        <f aca="false">IF(AND(I18&lt;&gt;"",D18&lt;&gt;"",D18&gt;0),I18/(D18/100),"")</f>
        <v/>
      </c>
      <c r="K18" s="9"/>
      <c r="L18" s="9"/>
      <c r="M18" s="6" t="str">
        <f aca="false">IF(F18="Fijo","(Baseline fijo - Precio nuevo fijo) × Vol. real",IF(F18="Indexado","(Prima anterior - Prima nueva) × Vol. real","N/A"))</f>
        <v>N/A</v>
      </c>
      <c r="N18" s="9"/>
    </row>
    <row r="19" customFormat="false" ht="15" hidden="false" customHeight="true" outlineLevel="0" collapsed="false">
      <c r="A19" s="15" t="n">
        <v>15</v>
      </c>
      <c r="B19" s="9"/>
      <c r="C19" s="9"/>
      <c r="D19" s="9"/>
      <c r="E19" s="9"/>
      <c r="F19" s="9"/>
      <c r="G19" s="9"/>
      <c r="H19" s="9"/>
      <c r="I19" s="9"/>
      <c r="J19" s="6" t="str">
        <f aca="false">IF(AND(I19&lt;&gt;"",D19&lt;&gt;"",D19&gt;0),I19/(D19/100),"")</f>
        <v/>
      </c>
      <c r="K19" s="9"/>
      <c r="L19" s="9"/>
      <c r="M19" s="6" t="str">
        <f aca="false">IF(F19="Fijo","(Baseline fijo - Precio nuevo fijo) × Vol. real",IF(F19="Indexado","(Prima anterior - Prima nueva) × Vol. real","N/A"))</f>
        <v>N/A</v>
      </c>
      <c r="N19" s="9"/>
    </row>
    <row r="20" customFormat="false" ht="15" hidden="false" customHeight="true" outlineLevel="0" collapsed="false">
      <c r="A20" s="15" t="n">
        <v>16</v>
      </c>
      <c r="B20" s="9"/>
      <c r="C20" s="9"/>
      <c r="D20" s="9"/>
      <c r="E20" s="9"/>
      <c r="F20" s="9"/>
      <c r="G20" s="9"/>
      <c r="H20" s="9"/>
      <c r="I20" s="9"/>
      <c r="J20" s="6" t="str">
        <f aca="false">IF(AND(I20&lt;&gt;"",D20&lt;&gt;"",D20&gt;0),I20/(D20/100),"")</f>
        <v/>
      </c>
      <c r="K20" s="9"/>
      <c r="L20" s="9"/>
      <c r="M20" s="6" t="str">
        <f aca="false">IF(F20="Fijo","(Baseline fijo - Precio nuevo fijo) × Vol. real",IF(F20="Indexado","(Prima anterior - Prima nueva) × Vol. real","N/A"))</f>
        <v>N/A</v>
      </c>
      <c r="N20" s="9"/>
    </row>
    <row r="21" customFormat="false" ht="15" hidden="false" customHeight="true" outlineLevel="0" collapsed="false">
      <c r="A21" s="15" t="n">
        <v>17</v>
      </c>
      <c r="B21" s="9"/>
      <c r="C21" s="9"/>
      <c r="D21" s="9"/>
      <c r="E21" s="9"/>
      <c r="F21" s="9"/>
      <c r="G21" s="9"/>
      <c r="H21" s="9"/>
      <c r="I21" s="9"/>
      <c r="J21" s="6" t="str">
        <f aca="false">IF(AND(I21&lt;&gt;"",D21&lt;&gt;"",D21&gt;0),I21/(D21/100),"")</f>
        <v/>
      </c>
      <c r="K21" s="9"/>
      <c r="L21" s="9"/>
      <c r="M21" s="6" t="str">
        <f aca="false">IF(F21="Fijo","(Baseline fijo - Precio nuevo fijo) × Vol. real",IF(F21="Indexado","(Prima anterior - Prima nueva) × Vol. real","N/A"))</f>
        <v>N/A</v>
      </c>
      <c r="N21" s="9"/>
    </row>
    <row r="22" customFormat="false" ht="15" hidden="false" customHeight="true" outlineLevel="0" collapsed="false">
      <c r="A22" s="15" t="n">
        <v>18</v>
      </c>
      <c r="B22" s="9"/>
      <c r="C22" s="9"/>
      <c r="D22" s="9"/>
      <c r="E22" s="9"/>
      <c r="F22" s="9"/>
      <c r="G22" s="9"/>
      <c r="H22" s="9"/>
      <c r="I22" s="9"/>
      <c r="J22" s="6" t="str">
        <f aca="false">IF(AND(I22&lt;&gt;"",D22&lt;&gt;"",D22&gt;0),I22/(D22/100),"")</f>
        <v/>
      </c>
      <c r="K22" s="9"/>
      <c r="L22" s="9"/>
      <c r="M22" s="6" t="str">
        <f aca="false">IF(F22="Fijo","(Baseline fijo - Precio nuevo fijo) × Vol. real",IF(F22="Indexado","(Prima anterior - Prima nueva) × Vol. real","N/A"))</f>
        <v>N/A</v>
      </c>
      <c r="N22" s="9"/>
    </row>
    <row r="23" customFormat="false" ht="15" hidden="false" customHeight="true" outlineLevel="0" collapsed="false">
      <c r="A23" s="15" t="n">
        <v>19</v>
      </c>
      <c r="B23" s="9"/>
      <c r="C23" s="9"/>
      <c r="D23" s="9"/>
      <c r="E23" s="9"/>
      <c r="F23" s="9"/>
      <c r="G23" s="9"/>
      <c r="H23" s="9"/>
      <c r="I23" s="9"/>
      <c r="J23" s="6" t="str">
        <f aca="false">IF(AND(I23&lt;&gt;"",D23&lt;&gt;"",D23&gt;0),I23/(D23/100),"")</f>
        <v/>
      </c>
      <c r="K23" s="9"/>
      <c r="L23" s="9"/>
      <c r="M23" s="6" t="str">
        <f aca="false">IF(F23="Fijo","(Baseline fijo - Precio nuevo fijo) × Vol. real",IF(F23="Indexado","(Prima anterior - Prima nueva) × Vol. real","N/A"))</f>
        <v>N/A</v>
      </c>
      <c r="N23" s="9"/>
    </row>
    <row r="24" customFormat="false" ht="15" hidden="false" customHeight="true" outlineLevel="0" collapsed="false">
      <c r="A24" s="15" t="n">
        <v>20</v>
      </c>
      <c r="B24" s="9"/>
      <c r="C24" s="9"/>
      <c r="D24" s="9"/>
      <c r="E24" s="9"/>
      <c r="F24" s="9"/>
      <c r="G24" s="9"/>
      <c r="H24" s="9"/>
      <c r="I24" s="9"/>
      <c r="J24" s="6" t="str">
        <f aca="false">IF(AND(I24&lt;&gt;"",D24&lt;&gt;"",D24&gt;0),I24/(D24/100),"")</f>
        <v/>
      </c>
      <c r="K24" s="9"/>
      <c r="L24" s="9"/>
      <c r="M24" s="6" t="str">
        <f aca="false">IF(F24="Fijo","(Baseline fijo - Precio nuevo fijo) × Vol. real",IF(F24="Indexado","(Prima anterior - Prima nueva) × Vol. real","N/A"))</f>
        <v>N/A</v>
      </c>
      <c r="N24" s="9"/>
    </row>
    <row r="25" customFormat="false" ht="15" hidden="false" customHeight="true" outlineLevel="0" collapsed="false">
      <c r="A25" s="15" t="n">
        <v>21</v>
      </c>
      <c r="B25" s="9"/>
      <c r="C25" s="9"/>
      <c r="D25" s="9"/>
      <c r="E25" s="9"/>
      <c r="F25" s="9"/>
      <c r="G25" s="9"/>
      <c r="H25" s="9"/>
      <c r="I25" s="9"/>
      <c r="J25" s="6" t="str">
        <f aca="false">IF(AND(I25&lt;&gt;"",D25&lt;&gt;"",D25&gt;0),I25/(D25/100),"")</f>
        <v/>
      </c>
      <c r="K25" s="9"/>
      <c r="L25" s="9"/>
      <c r="M25" s="6" t="str">
        <f aca="false">IF(F25="Fijo","(Baseline fijo - Precio nuevo fijo) × Vol. real",IF(F25="Indexado","(Prima anterior - Prima nueva) × Vol. real","N/A"))</f>
        <v>N/A</v>
      </c>
      <c r="N25" s="9"/>
    </row>
    <row r="26" customFormat="false" ht="15" hidden="false" customHeight="true" outlineLevel="0" collapsed="false">
      <c r="A26" s="15" t="n">
        <v>22</v>
      </c>
      <c r="B26" s="9"/>
      <c r="C26" s="9"/>
      <c r="D26" s="9"/>
      <c r="E26" s="9"/>
      <c r="F26" s="9"/>
      <c r="G26" s="9"/>
      <c r="H26" s="9"/>
      <c r="I26" s="9"/>
      <c r="J26" s="6" t="str">
        <f aca="false">IF(AND(I26&lt;&gt;"",D26&lt;&gt;"",D26&gt;0),I26/(D26/100),"")</f>
        <v/>
      </c>
      <c r="K26" s="9"/>
      <c r="L26" s="9"/>
      <c r="M26" s="6" t="str">
        <f aca="false">IF(F26="Fijo","(Baseline fijo - Precio nuevo fijo) × Vol. real",IF(F26="Indexado","(Prima anterior - Prima nueva) × Vol. real","N/A"))</f>
        <v>N/A</v>
      </c>
      <c r="N26" s="9"/>
    </row>
    <row r="27" customFormat="false" ht="15" hidden="false" customHeight="true" outlineLevel="0" collapsed="false">
      <c r="A27" s="15" t="n">
        <v>23</v>
      </c>
      <c r="B27" s="9"/>
      <c r="C27" s="9"/>
      <c r="D27" s="9"/>
      <c r="E27" s="9"/>
      <c r="F27" s="9"/>
      <c r="G27" s="9"/>
      <c r="H27" s="9"/>
      <c r="I27" s="9"/>
      <c r="J27" s="6" t="str">
        <f aca="false">IF(AND(I27&lt;&gt;"",D27&lt;&gt;"",D27&gt;0),I27/(D27/100),"")</f>
        <v/>
      </c>
      <c r="K27" s="9"/>
      <c r="L27" s="9"/>
      <c r="M27" s="6" t="str">
        <f aca="false">IF(F27="Fijo","(Baseline fijo - Precio nuevo fijo) × Vol. real",IF(F27="Indexado","(Prima anterior - Prima nueva) × Vol. real","N/A"))</f>
        <v>N/A</v>
      </c>
      <c r="N27" s="9"/>
    </row>
    <row r="28" customFormat="false" ht="15" hidden="false" customHeight="true" outlineLevel="0" collapsed="false">
      <c r="A28" s="15" t="n">
        <v>24</v>
      </c>
      <c r="B28" s="9"/>
      <c r="C28" s="9"/>
      <c r="D28" s="9"/>
      <c r="E28" s="9"/>
      <c r="F28" s="9"/>
      <c r="G28" s="9"/>
      <c r="H28" s="9"/>
      <c r="I28" s="9"/>
      <c r="J28" s="6" t="str">
        <f aca="false">IF(AND(I28&lt;&gt;"",D28&lt;&gt;"",D28&gt;0),I28/(D28/100),"")</f>
        <v/>
      </c>
      <c r="K28" s="9"/>
      <c r="L28" s="9"/>
      <c r="M28" s="6" t="str">
        <f aca="false">IF(F28="Fijo","(Baseline fijo - Precio nuevo fijo) × Vol. real",IF(F28="Indexado","(Prima anterior - Prima nueva) × Vol. real","N/A"))</f>
        <v>N/A</v>
      </c>
      <c r="N28" s="9"/>
    </row>
    <row r="29" customFormat="false" ht="15" hidden="false" customHeight="true" outlineLevel="0" collapsed="false">
      <c r="A29" s="15" t="n">
        <v>25</v>
      </c>
      <c r="B29" s="9"/>
      <c r="C29" s="9"/>
      <c r="D29" s="9"/>
      <c r="E29" s="9"/>
      <c r="F29" s="9"/>
      <c r="G29" s="9"/>
      <c r="H29" s="9"/>
      <c r="I29" s="9"/>
      <c r="J29" s="6" t="str">
        <f aca="false">IF(AND(I29&lt;&gt;"",D29&lt;&gt;"",D29&gt;0),I29/(D29/100),"")</f>
        <v/>
      </c>
      <c r="K29" s="9"/>
      <c r="L29" s="9"/>
      <c r="M29" s="6" t="str">
        <f aca="false">IF(F29="Fijo","(Baseline fijo - Precio nuevo fijo) × Vol. real",IF(F29="Indexado","(Prima anterior - Prima nueva) × Vol. real","N/A"))</f>
        <v>N/A</v>
      </c>
      <c r="N29" s="9"/>
    </row>
    <row r="30" customFormat="false" ht="15" hidden="false" customHeight="true" outlineLevel="0" collapsed="false">
      <c r="A30" s="15" t="n">
        <v>26</v>
      </c>
      <c r="B30" s="9"/>
      <c r="C30" s="9"/>
      <c r="D30" s="9"/>
      <c r="E30" s="9"/>
      <c r="F30" s="9"/>
      <c r="G30" s="9"/>
      <c r="H30" s="9"/>
      <c r="I30" s="9"/>
      <c r="J30" s="6" t="str">
        <f aca="false">IF(AND(I30&lt;&gt;"",D30&lt;&gt;"",D30&gt;0),I30/(D30/100),"")</f>
        <v/>
      </c>
      <c r="K30" s="9"/>
      <c r="L30" s="9"/>
      <c r="M30" s="6" t="str">
        <f aca="false">IF(F30="Fijo","(Baseline fijo - Precio nuevo fijo) × Vol. real",IF(F30="Indexado","(Prima anterior - Prima nueva) × Vol. real","N/A"))</f>
        <v>N/A</v>
      </c>
      <c r="N30" s="9"/>
    </row>
    <row r="31" customFormat="false" ht="15" hidden="false" customHeight="true" outlineLevel="0" collapsed="false">
      <c r="A31" s="15" t="n">
        <v>27</v>
      </c>
      <c r="B31" s="9"/>
      <c r="C31" s="9"/>
      <c r="D31" s="9"/>
      <c r="E31" s="9"/>
      <c r="F31" s="9"/>
      <c r="G31" s="9"/>
      <c r="H31" s="9"/>
      <c r="I31" s="9"/>
      <c r="J31" s="6" t="str">
        <f aca="false">IF(AND(I31&lt;&gt;"",D31&lt;&gt;"",D31&gt;0),I31/(D31/100),"")</f>
        <v/>
      </c>
      <c r="K31" s="9"/>
      <c r="L31" s="9"/>
      <c r="M31" s="6" t="str">
        <f aca="false">IF(F31="Fijo","(Baseline fijo - Precio nuevo fijo) × Vol. real",IF(F31="Indexado","(Prima anterior - Prima nueva) × Vol. real","N/A"))</f>
        <v>N/A</v>
      </c>
      <c r="N31" s="9"/>
    </row>
    <row r="32" customFormat="false" ht="15" hidden="false" customHeight="true" outlineLevel="0" collapsed="false">
      <c r="A32" s="15" t="n">
        <v>28</v>
      </c>
      <c r="B32" s="9"/>
      <c r="C32" s="9"/>
      <c r="D32" s="9"/>
      <c r="E32" s="9"/>
      <c r="F32" s="9"/>
      <c r="G32" s="9"/>
      <c r="H32" s="9"/>
      <c r="I32" s="9"/>
      <c r="J32" s="6" t="str">
        <f aca="false">IF(AND(I32&lt;&gt;"",D32&lt;&gt;"",D32&gt;0),I32/(D32/100),"")</f>
        <v/>
      </c>
      <c r="K32" s="9"/>
      <c r="L32" s="9"/>
      <c r="M32" s="6" t="str">
        <f aca="false">IF(F32="Fijo","(Baseline fijo - Precio nuevo fijo) × Vol. real",IF(F32="Indexado","(Prima anterior - Prima nueva) × Vol. real","N/A"))</f>
        <v>N/A</v>
      </c>
      <c r="N32" s="9"/>
    </row>
    <row r="33" customFormat="false" ht="15" hidden="false" customHeight="true" outlineLevel="0" collapsed="false">
      <c r="A33" s="15" t="n">
        <v>29</v>
      </c>
      <c r="B33" s="9"/>
      <c r="C33" s="9"/>
      <c r="D33" s="9"/>
      <c r="E33" s="9"/>
      <c r="F33" s="9"/>
      <c r="G33" s="9"/>
      <c r="H33" s="9"/>
      <c r="I33" s="9"/>
      <c r="J33" s="6" t="str">
        <f aca="false">IF(AND(I33&lt;&gt;"",D33&lt;&gt;"",D33&gt;0),I33/(D33/100),"")</f>
        <v/>
      </c>
      <c r="K33" s="9"/>
      <c r="L33" s="9"/>
      <c r="M33" s="6" t="str">
        <f aca="false">IF(F33="Fijo","(Baseline fijo - Precio nuevo fijo) × Vol. real",IF(F33="Indexado","(Prima anterior - Prima nueva) × Vol. real","N/A"))</f>
        <v>N/A</v>
      </c>
      <c r="N33" s="9"/>
    </row>
    <row r="34" customFormat="false" ht="15" hidden="false" customHeight="true" outlineLevel="0" collapsed="false">
      <c r="A34" s="15" t="n">
        <v>30</v>
      </c>
      <c r="B34" s="9"/>
      <c r="C34" s="9"/>
      <c r="D34" s="9"/>
      <c r="E34" s="9"/>
      <c r="F34" s="9"/>
      <c r="G34" s="9"/>
      <c r="H34" s="9"/>
      <c r="I34" s="9"/>
      <c r="J34" s="6" t="str">
        <f aca="false">IF(AND(I34&lt;&gt;"",D34&lt;&gt;"",D34&gt;0),I34/(D34/100),"")</f>
        <v/>
      </c>
      <c r="K34" s="9"/>
      <c r="L34" s="9"/>
      <c r="M34" s="6" t="str">
        <f aca="false">IF(F34="Fijo","(Baseline fijo - Precio nuevo fijo) × Vol. real",IF(F34="Indexado","(Prima anterior - Prima nueva) × Vol. real","N/A"))</f>
        <v>N/A</v>
      </c>
      <c r="N34" s="9"/>
    </row>
    <row r="35" customFormat="false" ht="15" hidden="false" customHeight="true" outlineLevel="0" collapsed="false">
      <c r="A35" s="15" t="n">
        <v>31</v>
      </c>
      <c r="B35" s="9"/>
      <c r="C35" s="9"/>
      <c r="D35" s="9"/>
      <c r="E35" s="9"/>
      <c r="F35" s="9"/>
      <c r="G35" s="9"/>
      <c r="H35" s="9"/>
      <c r="I35" s="9"/>
      <c r="J35" s="6" t="str">
        <f aca="false">IF(AND(I35&lt;&gt;"",D35&lt;&gt;"",D35&gt;0),I35/(D35/100),"")</f>
        <v/>
      </c>
      <c r="K35" s="9"/>
      <c r="L35" s="9"/>
      <c r="M35" s="6" t="str">
        <f aca="false">IF(F35="Fijo","(Baseline fijo - Precio nuevo fijo) × Vol. real",IF(F35="Indexado","(Prima anterior - Prima nueva) × Vol. real","N/A"))</f>
        <v>N/A</v>
      </c>
      <c r="N35" s="9"/>
    </row>
    <row r="36" customFormat="false" ht="15" hidden="false" customHeight="true" outlineLevel="0" collapsed="false">
      <c r="A36" s="15" t="n">
        <v>32</v>
      </c>
      <c r="B36" s="9"/>
      <c r="C36" s="9"/>
      <c r="D36" s="9"/>
      <c r="E36" s="9"/>
      <c r="F36" s="9"/>
      <c r="G36" s="9"/>
      <c r="H36" s="9"/>
      <c r="I36" s="9"/>
      <c r="J36" s="6" t="str">
        <f aca="false">IF(AND(I36&lt;&gt;"",D36&lt;&gt;"",D36&gt;0),I36/(D36/100),"")</f>
        <v/>
      </c>
      <c r="K36" s="9"/>
      <c r="L36" s="9"/>
      <c r="M36" s="6" t="str">
        <f aca="false">IF(F36="Fijo","(Baseline fijo - Precio nuevo fijo) × Vol. real",IF(F36="Indexado","(Prima anterior - Prima nueva) × Vol. real","N/A"))</f>
        <v>N/A</v>
      </c>
      <c r="N36" s="9"/>
    </row>
    <row r="37" customFormat="false" ht="15" hidden="false" customHeight="true" outlineLevel="0" collapsed="false">
      <c r="A37" s="15" t="n">
        <v>33</v>
      </c>
      <c r="B37" s="9"/>
      <c r="C37" s="9"/>
      <c r="D37" s="9"/>
      <c r="E37" s="9"/>
      <c r="F37" s="9"/>
      <c r="G37" s="9"/>
      <c r="H37" s="9"/>
      <c r="I37" s="9"/>
      <c r="J37" s="6" t="str">
        <f aca="false">IF(AND(I37&lt;&gt;"",D37&lt;&gt;"",D37&gt;0),I37/(D37/100),"")</f>
        <v/>
      </c>
      <c r="K37" s="9"/>
      <c r="L37" s="9"/>
      <c r="M37" s="6" t="str">
        <f aca="false">IF(F37="Fijo","(Baseline fijo - Precio nuevo fijo) × Vol. real",IF(F37="Indexado","(Prima anterior - Prima nueva) × Vol. real","N/A"))</f>
        <v>N/A</v>
      </c>
      <c r="N37" s="9"/>
    </row>
    <row r="38" customFormat="false" ht="15" hidden="false" customHeight="true" outlineLevel="0" collapsed="false">
      <c r="A38" s="15" t="n">
        <v>34</v>
      </c>
      <c r="B38" s="9"/>
      <c r="C38" s="9"/>
      <c r="D38" s="9"/>
      <c r="E38" s="9"/>
      <c r="F38" s="9"/>
      <c r="G38" s="9"/>
      <c r="H38" s="9"/>
      <c r="I38" s="9"/>
      <c r="J38" s="6" t="str">
        <f aca="false">IF(AND(I38&lt;&gt;"",D38&lt;&gt;"",D38&gt;0),I38/(D38/100),"")</f>
        <v/>
      </c>
      <c r="K38" s="9"/>
      <c r="L38" s="9"/>
      <c r="M38" s="6" t="str">
        <f aca="false">IF(F38="Fijo","(Baseline fijo - Precio nuevo fijo) × Vol. real",IF(F38="Indexado","(Prima anterior - Prima nueva) × Vol. real","N/A"))</f>
        <v>N/A</v>
      </c>
      <c r="N38" s="9"/>
    </row>
    <row r="39" customFormat="false" ht="15" hidden="false" customHeight="true" outlineLevel="0" collapsed="false">
      <c r="A39" s="15" t="n">
        <v>35</v>
      </c>
      <c r="B39" s="9"/>
      <c r="C39" s="9"/>
      <c r="D39" s="9"/>
      <c r="E39" s="9"/>
      <c r="F39" s="9"/>
      <c r="G39" s="9"/>
      <c r="H39" s="9"/>
      <c r="I39" s="9"/>
      <c r="J39" s="6" t="str">
        <f aca="false">IF(AND(I39&lt;&gt;"",D39&lt;&gt;"",D39&gt;0),I39/(D39/100),"")</f>
        <v/>
      </c>
      <c r="K39" s="9"/>
      <c r="L39" s="9"/>
      <c r="M39" s="6" t="str">
        <f aca="false">IF(F39="Fijo","(Baseline fijo - Precio nuevo fijo) × Vol. real",IF(F39="Indexado","(Prima anterior - Prima nueva) × Vol. real","N/A"))</f>
        <v>N/A</v>
      </c>
      <c r="N39" s="9"/>
    </row>
    <row r="40" customFormat="false" ht="15" hidden="false" customHeight="true" outlineLevel="0" collapsed="false">
      <c r="A40" s="15" t="n">
        <v>36</v>
      </c>
      <c r="B40" s="9"/>
      <c r="C40" s="9"/>
      <c r="D40" s="9"/>
      <c r="E40" s="9"/>
      <c r="F40" s="9"/>
      <c r="G40" s="9"/>
      <c r="H40" s="9"/>
      <c r="I40" s="9"/>
      <c r="J40" s="6" t="str">
        <f aca="false">IF(AND(I40&lt;&gt;"",D40&lt;&gt;"",D40&gt;0),I40/(D40/100),"")</f>
        <v/>
      </c>
      <c r="K40" s="9"/>
      <c r="L40" s="9"/>
      <c r="M40" s="6" t="str">
        <f aca="false">IF(F40="Fijo","(Baseline fijo - Precio nuevo fijo) × Vol. real",IF(F40="Indexado","(Prima anterior - Prima nueva) × Vol. real","N/A"))</f>
        <v>N/A</v>
      </c>
      <c r="N40" s="9"/>
    </row>
    <row r="41" customFormat="false" ht="15" hidden="false" customHeight="true" outlineLevel="0" collapsed="false">
      <c r="A41" s="15" t="n">
        <v>37</v>
      </c>
      <c r="B41" s="9"/>
      <c r="C41" s="9"/>
      <c r="D41" s="9"/>
      <c r="E41" s="9"/>
      <c r="F41" s="9"/>
      <c r="G41" s="9"/>
      <c r="H41" s="9"/>
      <c r="I41" s="9"/>
      <c r="J41" s="6" t="str">
        <f aca="false">IF(AND(I41&lt;&gt;"",D41&lt;&gt;"",D41&gt;0),I41/(D41/100),"")</f>
        <v/>
      </c>
      <c r="K41" s="9"/>
      <c r="L41" s="9"/>
      <c r="M41" s="6" t="str">
        <f aca="false">IF(F41="Fijo","(Baseline fijo - Precio nuevo fijo) × Vol. real",IF(F41="Indexado","(Prima anterior - Prima nueva) × Vol. real","N/A"))</f>
        <v>N/A</v>
      </c>
      <c r="N41" s="9"/>
    </row>
    <row r="42" customFormat="false" ht="15" hidden="false" customHeight="true" outlineLevel="0" collapsed="false">
      <c r="A42" s="15" t="n">
        <v>38</v>
      </c>
      <c r="B42" s="9"/>
      <c r="C42" s="9"/>
      <c r="D42" s="9"/>
      <c r="E42" s="9"/>
      <c r="F42" s="9"/>
      <c r="G42" s="9"/>
      <c r="H42" s="9"/>
      <c r="I42" s="9"/>
      <c r="J42" s="6" t="str">
        <f aca="false">IF(AND(I42&lt;&gt;"",D42&lt;&gt;"",D42&gt;0),I42/(D42/100),"")</f>
        <v/>
      </c>
      <c r="K42" s="9"/>
      <c r="L42" s="9"/>
      <c r="M42" s="6" t="str">
        <f aca="false">IF(F42="Fijo","(Baseline fijo - Precio nuevo fijo) × Vol. real",IF(F42="Indexado","(Prima anterior - Prima nueva) × Vol. real","N/A"))</f>
        <v>N/A</v>
      </c>
      <c r="N42" s="9"/>
    </row>
    <row r="43" customFormat="false" ht="15" hidden="false" customHeight="true" outlineLevel="0" collapsed="false">
      <c r="A43" s="15" t="n">
        <v>39</v>
      </c>
      <c r="B43" s="9"/>
      <c r="C43" s="9"/>
      <c r="D43" s="9"/>
      <c r="E43" s="9"/>
      <c r="F43" s="9"/>
      <c r="G43" s="9"/>
      <c r="H43" s="9"/>
      <c r="I43" s="9"/>
      <c r="J43" s="6" t="str">
        <f aca="false">IF(AND(I43&lt;&gt;"",D43&lt;&gt;"",D43&gt;0),I43/(D43/100),"")</f>
        <v/>
      </c>
      <c r="K43" s="9"/>
      <c r="L43" s="9"/>
      <c r="M43" s="6" t="str">
        <f aca="false">IF(F43="Fijo","(Baseline fijo - Precio nuevo fijo) × Vol. real",IF(F43="Indexado","(Prima anterior - Prima nueva) × Vol. real","N/A"))</f>
        <v>N/A</v>
      </c>
      <c r="N43" s="9"/>
    </row>
    <row r="44" customFormat="false" ht="15" hidden="false" customHeight="true" outlineLevel="0" collapsed="false">
      <c r="A44" s="15" t="n">
        <v>40</v>
      </c>
      <c r="B44" s="9"/>
      <c r="C44" s="9"/>
      <c r="D44" s="9"/>
      <c r="E44" s="9"/>
      <c r="F44" s="9"/>
      <c r="G44" s="9"/>
      <c r="H44" s="9"/>
      <c r="I44" s="9"/>
      <c r="J44" s="6" t="str">
        <f aca="false">IF(AND(I44&lt;&gt;"",D44&lt;&gt;"",D44&gt;0),I44/(D44/100),"")</f>
        <v/>
      </c>
      <c r="K44" s="9"/>
      <c r="L44" s="9"/>
      <c r="M44" s="6" t="str">
        <f aca="false">IF(F44="Fijo","(Baseline fijo - Precio nuevo fijo) × Vol. real",IF(F44="Indexado","(Prima anterior - Prima nueva) × Vol. real","N/A"))</f>
        <v>N/A</v>
      </c>
      <c r="N44" s="9"/>
    </row>
    <row r="45" customFormat="false" ht="15" hidden="false" customHeight="true" outlineLevel="0" collapsed="false">
      <c r="A45" s="15" t="n">
        <v>41</v>
      </c>
      <c r="B45" s="9"/>
      <c r="C45" s="9"/>
      <c r="D45" s="9"/>
      <c r="E45" s="9"/>
      <c r="F45" s="9"/>
      <c r="G45" s="9"/>
      <c r="H45" s="9"/>
      <c r="I45" s="9"/>
      <c r="J45" s="6" t="str">
        <f aca="false">IF(AND(I45&lt;&gt;"",D45&lt;&gt;"",D45&gt;0),I45/(D45/100),"")</f>
        <v/>
      </c>
      <c r="K45" s="9"/>
      <c r="L45" s="9"/>
      <c r="M45" s="6" t="str">
        <f aca="false">IF(F45="Fijo","(Baseline fijo - Precio nuevo fijo) × Vol. real",IF(F45="Indexado","(Prima anterior - Prima nueva) × Vol. real","N/A"))</f>
        <v>N/A</v>
      </c>
      <c r="N45" s="9"/>
    </row>
    <row r="46" customFormat="false" ht="15" hidden="false" customHeight="true" outlineLevel="0" collapsed="false">
      <c r="A46" s="15" t="n">
        <v>42</v>
      </c>
      <c r="B46" s="9"/>
      <c r="C46" s="9"/>
      <c r="D46" s="9"/>
      <c r="E46" s="9"/>
      <c r="F46" s="9"/>
      <c r="G46" s="9"/>
      <c r="H46" s="9"/>
      <c r="I46" s="9"/>
      <c r="J46" s="6" t="str">
        <f aca="false">IF(AND(I46&lt;&gt;"",D46&lt;&gt;"",D46&gt;0),I46/(D46/100),"")</f>
        <v/>
      </c>
      <c r="K46" s="9"/>
      <c r="L46" s="9"/>
      <c r="M46" s="6" t="str">
        <f aca="false">IF(F46="Fijo","(Baseline fijo - Precio nuevo fijo) × Vol. real",IF(F46="Indexado","(Prima anterior - Prima nueva) × Vol. real","N/A"))</f>
        <v>N/A</v>
      </c>
      <c r="N46" s="9"/>
    </row>
    <row r="47" customFormat="false" ht="15" hidden="false" customHeight="true" outlineLevel="0" collapsed="false">
      <c r="A47" s="15" t="n">
        <v>43</v>
      </c>
      <c r="B47" s="9"/>
      <c r="C47" s="9"/>
      <c r="D47" s="9"/>
      <c r="E47" s="9"/>
      <c r="F47" s="9"/>
      <c r="G47" s="9"/>
      <c r="H47" s="9"/>
      <c r="I47" s="9"/>
      <c r="J47" s="6" t="str">
        <f aca="false">IF(AND(I47&lt;&gt;"",D47&lt;&gt;"",D47&gt;0),I47/(D47/100),"")</f>
        <v/>
      </c>
      <c r="K47" s="9"/>
      <c r="L47" s="9"/>
      <c r="M47" s="6" t="str">
        <f aca="false">IF(F47="Fijo","(Baseline fijo - Precio nuevo fijo) × Vol. real",IF(F47="Indexado","(Prima anterior - Prima nueva) × Vol. real","N/A"))</f>
        <v>N/A</v>
      </c>
      <c r="N47" s="9"/>
    </row>
    <row r="48" customFormat="false" ht="15" hidden="false" customHeight="true" outlineLevel="0" collapsed="false">
      <c r="A48" s="15" t="n">
        <v>44</v>
      </c>
      <c r="B48" s="9"/>
      <c r="C48" s="9"/>
      <c r="D48" s="9"/>
      <c r="E48" s="9"/>
      <c r="F48" s="9"/>
      <c r="G48" s="9"/>
      <c r="H48" s="9"/>
      <c r="I48" s="9"/>
      <c r="J48" s="6" t="str">
        <f aca="false">IF(AND(I48&lt;&gt;"",D48&lt;&gt;"",D48&gt;0),I48/(D48/100),"")</f>
        <v/>
      </c>
      <c r="K48" s="9"/>
      <c r="L48" s="9"/>
      <c r="M48" s="6" t="str">
        <f aca="false">IF(F48="Fijo","(Baseline fijo - Precio nuevo fijo) × Vol. real",IF(F48="Indexado","(Prima anterior - Prima nueva) × Vol. real","N/A"))</f>
        <v>N/A</v>
      </c>
      <c r="N48" s="9"/>
    </row>
    <row r="49" customFormat="false" ht="15" hidden="false" customHeight="true" outlineLevel="0" collapsed="false">
      <c r="A49" s="15" t="n">
        <v>45</v>
      </c>
      <c r="B49" s="9"/>
      <c r="C49" s="9"/>
      <c r="D49" s="9"/>
      <c r="E49" s="9"/>
      <c r="F49" s="9"/>
      <c r="G49" s="9"/>
      <c r="H49" s="9"/>
      <c r="I49" s="9"/>
      <c r="J49" s="6" t="str">
        <f aca="false">IF(AND(I49&lt;&gt;"",D49&lt;&gt;"",D49&gt;0),I49/(D49/100),"")</f>
        <v/>
      </c>
      <c r="K49" s="9"/>
      <c r="L49" s="9"/>
      <c r="M49" s="6" t="str">
        <f aca="false">IF(F49="Fijo","(Baseline fijo - Precio nuevo fijo) × Vol. real",IF(F49="Indexado","(Prima anterior - Prima nueva) × Vol. real","N/A"))</f>
        <v>N/A</v>
      </c>
      <c r="N49" s="9"/>
    </row>
    <row r="50" customFormat="false" ht="15" hidden="false" customHeight="true" outlineLevel="0" collapsed="false">
      <c r="A50" s="15" t="n">
        <v>46</v>
      </c>
      <c r="B50" s="9"/>
      <c r="C50" s="9"/>
      <c r="D50" s="9"/>
      <c r="E50" s="9"/>
      <c r="F50" s="9"/>
      <c r="G50" s="9"/>
      <c r="H50" s="9"/>
      <c r="I50" s="9"/>
      <c r="J50" s="6" t="str">
        <f aca="false">IF(AND(I50&lt;&gt;"",D50&lt;&gt;"",D50&gt;0),I50/(D50/100),"")</f>
        <v/>
      </c>
      <c r="K50" s="9"/>
      <c r="L50" s="9"/>
      <c r="M50" s="6" t="str">
        <f aca="false">IF(F50="Fijo","(Baseline fijo - Precio nuevo fijo) × Vol. real",IF(F50="Indexado","(Prima anterior - Prima nueva) × Vol. real","N/A"))</f>
        <v>N/A</v>
      </c>
      <c r="N50" s="9"/>
    </row>
    <row r="51" customFormat="false" ht="15" hidden="false" customHeight="true" outlineLevel="0" collapsed="false">
      <c r="A51" s="15" t="n">
        <v>47</v>
      </c>
      <c r="B51" s="9"/>
      <c r="C51" s="9"/>
      <c r="D51" s="9"/>
      <c r="E51" s="9"/>
      <c r="F51" s="9"/>
      <c r="G51" s="9"/>
      <c r="H51" s="9"/>
      <c r="I51" s="9"/>
      <c r="J51" s="6" t="str">
        <f aca="false">IF(AND(I51&lt;&gt;"",D51&lt;&gt;"",D51&gt;0),I51/(D51/100),"")</f>
        <v/>
      </c>
      <c r="K51" s="9"/>
      <c r="L51" s="9"/>
      <c r="M51" s="6" t="str">
        <f aca="false">IF(F51="Fijo","(Baseline fijo - Precio nuevo fijo) × Vol. real",IF(F51="Indexado","(Prima anterior - Prima nueva) × Vol. real","N/A"))</f>
        <v>N/A</v>
      </c>
      <c r="N51" s="9"/>
    </row>
    <row r="52" customFormat="false" ht="15" hidden="false" customHeight="true" outlineLevel="0" collapsed="false">
      <c r="A52" s="15" t="n">
        <v>48</v>
      </c>
      <c r="B52" s="9"/>
      <c r="C52" s="9"/>
      <c r="D52" s="9"/>
      <c r="E52" s="9"/>
      <c r="F52" s="9"/>
      <c r="G52" s="9"/>
      <c r="H52" s="9"/>
      <c r="I52" s="9"/>
      <c r="J52" s="6" t="str">
        <f aca="false">IF(AND(I52&lt;&gt;"",D52&lt;&gt;"",D52&gt;0),I52/(D52/100),"")</f>
        <v/>
      </c>
      <c r="K52" s="9"/>
      <c r="L52" s="9"/>
      <c r="M52" s="6" t="str">
        <f aca="false">IF(F52="Fijo","(Baseline fijo - Precio nuevo fijo) × Vol. real",IF(F52="Indexado","(Prima anterior - Prima nueva) × Vol. real","N/A"))</f>
        <v>N/A</v>
      </c>
      <c r="N52" s="9"/>
    </row>
    <row r="53" customFormat="false" ht="15" hidden="false" customHeight="true" outlineLevel="0" collapsed="false">
      <c r="A53" s="15" t="n">
        <v>49</v>
      </c>
      <c r="B53" s="9"/>
      <c r="C53" s="9"/>
      <c r="D53" s="9"/>
      <c r="E53" s="9"/>
      <c r="F53" s="9"/>
      <c r="G53" s="9"/>
      <c r="H53" s="9"/>
      <c r="I53" s="9"/>
      <c r="J53" s="6" t="str">
        <f aca="false">IF(AND(I53&lt;&gt;"",D53&lt;&gt;"",D53&gt;0),I53/(D53/100),"")</f>
        <v/>
      </c>
      <c r="K53" s="9"/>
      <c r="L53" s="9"/>
      <c r="M53" s="6" t="str">
        <f aca="false">IF(F53="Fijo","(Baseline fijo - Precio nuevo fijo) × Vol. real",IF(F53="Indexado","(Prima anterior - Prima nueva) × Vol. real","N/A"))</f>
        <v>N/A</v>
      </c>
      <c r="N53" s="9"/>
    </row>
    <row r="54" customFormat="false" ht="15" hidden="false" customHeight="true" outlineLevel="0" collapsed="false">
      <c r="A54" s="15" t="n">
        <v>50</v>
      </c>
      <c r="B54" s="9"/>
      <c r="C54" s="9"/>
      <c r="D54" s="9"/>
      <c r="E54" s="9"/>
      <c r="F54" s="9"/>
      <c r="G54" s="9"/>
      <c r="H54" s="9"/>
      <c r="I54" s="9"/>
      <c r="J54" s="6" t="str">
        <f aca="false">IF(AND(I54&lt;&gt;"",D54&lt;&gt;"",D54&gt;0),I54/(D54/100),"")</f>
        <v/>
      </c>
      <c r="K54" s="9"/>
      <c r="L54" s="9"/>
      <c r="M54" s="6" t="str">
        <f aca="false">IF(F54="Fijo","(Baseline fijo - Precio nuevo fijo) × Vol. real",IF(F54="Indexado","(Prima anterior - Prima nueva) × Vol. real","N/A"))</f>
        <v>N/A</v>
      </c>
      <c r="N54" s="9"/>
    </row>
    <row r="57" customFormat="false" ht="15" hidden="false" customHeight="true" outlineLevel="0" collapsed="false">
      <c r="A57" s="20" t="s">
        <v>144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customFormat="false" ht="15" hidden="false" customHeight="true" outlineLevel="0" collapsed="false">
      <c r="A58" s="11" t="s">
        <v>145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customFormat="false" ht="1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customFormat="false" ht="15" hidden="false" customHeight="true" outlineLevel="0" collapsed="false">
      <c r="A60" s="22" t="s">
        <v>146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customFormat="false" ht="15" hidden="false" customHeight="true" outlineLevel="0" collapsed="false">
      <c r="A61" s="22" t="s">
        <v>147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customFormat="false" ht="1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customFormat="false" ht="15" hidden="false" customHeight="true" outlineLevel="0" collapsed="false">
      <c r="A63" s="23" t="s">
        <v>148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customFormat="false" ht="1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</sheetData>
  <mergeCells count="9">
    <mergeCell ref="A1:N1"/>
    <mergeCell ref="A57:N57"/>
    <mergeCell ref="A58:N58"/>
    <mergeCell ref="A59:N59"/>
    <mergeCell ref="A60:N60"/>
    <mergeCell ref="A61:N61"/>
    <mergeCell ref="A62:N62"/>
    <mergeCell ref="A63:N63"/>
    <mergeCell ref="A64:N64"/>
  </mergeCells>
  <dataValidations count="2">
    <dataValidation allowBlank="true" errorStyle="stop" operator="between" showDropDown="false" showErrorMessage="false" showInputMessage="false" sqref="F5:F54" type="list">
      <formula1>"Fijo,Indexado,Spot"</formula1>
      <formula2>0</formula2>
    </dataValidation>
    <dataValidation allowBlank="true" errorStyle="stop" operator="between" showDropDown="false" showErrorMessage="false" showInputMessage="false" sqref="N5:N54" type="list">
      <formula1>"Facturas 12 meses,Facturas 24 meses,Contrato vigente,Albaranes,Otra"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13" min="5" style="1" width="12"/>
    <col collapsed="false" customWidth="true" hidden="false" outlineLevel="0" max="15" min="14" style="1" width="14"/>
    <col collapsed="false" customWidth="true" hidden="false" outlineLevel="0" max="16" min="16" style="1" width="12"/>
    <col collapsed="false" customWidth="true" hidden="false" outlineLevel="0" max="17" min="17" style="1" width="14"/>
    <col collapsed="false" customWidth="true" hidden="false" outlineLevel="0" max="18" min="18" style="1" width="22"/>
  </cols>
  <sheetData>
    <row r="1" customFormat="false" ht="17.25" hidden="false" customHeight="true" outlineLevel="0" collapsed="false">
      <c r="A1" s="2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150</v>
      </c>
    </row>
    <row r="3" customFormat="false" ht="45.75" hidden="false" customHeight="true" outlineLevel="0" collapsed="false">
      <c r="A3" s="4" t="s">
        <v>62</v>
      </c>
      <c r="B3" s="4" t="s">
        <v>112</v>
      </c>
      <c r="C3" s="4" t="s">
        <v>136</v>
      </c>
      <c r="D3" s="4" t="s">
        <v>68</v>
      </c>
      <c r="E3" s="4" t="s">
        <v>151</v>
      </c>
      <c r="F3" s="4" t="s">
        <v>152</v>
      </c>
      <c r="G3" s="4" t="s">
        <v>153</v>
      </c>
      <c r="H3" s="4" t="s">
        <v>154</v>
      </c>
      <c r="I3" s="4" t="s">
        <v>155</v>
      </c>
      <c r="J3" s="4" t="s">
        <v>156</v>
      </c>
      <c r="K3" s="4" t="s">
        <v>157</v>
      </c>
      <c r="L3" s="4" t="s">
        <v>158</v>
      </c>
      <c r="M3" s="4" t="s">
        <v>159</v>
      </c>
      <c r="N3" s="4" t="s">
        <v>160</v>
      </c>
      <c r="O3" s="4" t="s">
        <v>161</v>
      </c>
      <c r="P3" s="4" t="s">
        <v>162</v>
      </c>
      <c r="Q3" s="4" t="s">
        <v>163</v>
      </c>
      <c r="R3" s="4" t="s">
        <v>164</v>
      </c>
    </row>
    <row r="4" customFormat="false" ht="15" hidden="false" customHeight="true" outlineLevel="0" collapsed="false">
      <c r="A4" s="15" t="n">
        <v>1</v>
      </c>
      <c r="B4" s="9"/>
      <c r="C4" s="9"/>
      <c r="D4" s="9"/>
      <c r="E4" s="9"/>
      <c r="F4" s="9"/>
      <c r="G4" s="9"/>
      <c r="H4" s="9"/>
      <c r="I4" s="6" t="str">
        <f aca="false">IF(COUNTA(F4:H4)&gt;0,AVERAGE(F4:H4),"")</f>
        <v/>
      </c>
      <c r="J4" s="9"/>
      <c r="K4" s="6" t="str">
        <f aca="false">IF(J4&lt;&gt;"",J4*1.15,"")</f>
        <v/>
      </c>
      <c r="L4" s="9"/>
      <c r="M4" s="6" t="str">
        <f aca="false">IF(AND(L4&lt;&gt;""),"Calcular manual","")</f>
        <v/>
      </c>
      <c r="N4" s="9"/>
      <c r="O4" s="6" t="n">
        <f aca="false">IF(COUNTA(I4,K4,N4)&gt;0,MIN(IF(I4&lt;&gt;"",I4,999),IF(K4&lt;&gt;"",K4,999),IF(N4&lt;&gt;"",N4,999)),"")</f>
        <v>999</v>
      </c>
      <c r="P4" s="6" t="str">
        <f aca="false">IF(AND(E4&lt;&gt;"",O4&lt;&gt;"",O4&gt;0,O4&lt;999),(E4-O4)/O4,"")</f>
        <v/>
      </c>
      <c r="Q4" s="6" t="str">
        <f aca="false">IF(AND(E4&lt;&gt;"",O4&lt;&gt;"",O4&lt;999),MAX(0,E4-O4)*0,"Vincular vol.")</f>
        <v>Vincular vol.</v>
      </c>
      <c r="R4" s="9"/>
    </row>
    <row r="5" customFormat="false" ht="15" hidden="false" customHeight="true" outlineLevel="0" collapsed="false">
      <c r="A5" s="15" t="n">
        <v>2</v>
      </c>
      <c r="B5" s="9"/>
      <c r="C5" s="9"/>
      <c r="D5" s="9"/>
      <c r="E5" s="9"/>
      <c r="F5" s="9"/>
      <c r="G5" s="9"/>
      <c r="H5" s="9"/>
      <c r="I5" s="6" t="str">
        <f aca="false">IF(COUNTA(F5:H5)&gt;0,AVERAGE(F5:H5),"")</f>
        <v/>
      </c>
      <c r="J5" s="9"/>
      <c r="K5" s="6" t="str">
        <f aca="false">IF(J5&lt;&gt;"",J5*1.15,"")</f>
        <v/>
      </c>
      <c r="L5" s="9"/>
      <c r="M5" s="6" t="str">
        <f aca="false">IF(AND(L5&lt;&gt;""),"Calcular manual","")</f>
        <v/>
      </c>
      <c r="N5" s="9"/>
      <c r="O5" s="6" t="n">
        <f aca="false">IF(COUNTA(I5,K5,N5)&gt;0,MIN(IF(I5&lt;&gt;"",I5,999),IF(K5&lt;&gt;"",K5,999),IF(N5&lt;&gt;"",N5,999)),"")</f>
        <v>999</v>
      </c>
      <c r="P5" s="6" t="str">
        <f aca="false">IF(AND(E5&lt;&gt;"",O5&lt;&gt;"",O5&gt;0,O5&lt;999),(E5-O5)/O5,"")</f>
        <v/>
      </c>
      <c r="Q5" s="6" t="str">
        <f aca="false">IF(AND(E5&lt;&gt;"",O5&lt;&gt;"",O5&lt;999),MAX(0,E5-O5)*0,"Vincular vol.")</f>
        <v>Vincular vol.</v>
      </c>
      <c r="R5" s="9"/>
    </row>
    <row r="6" customFormat="false" ht="15" hidden="false" customHeight="true" outlineLevel="0" collapsed="false">
      <c r="A6" s="15" t="n">
        <v>3</v>
      </c>
      <c r="B6" s="9"/>
      <c r="C6" s="9"/>
      <c r="D6" s="9"/>
      <c r="E6" s="9"/>
      <c r="F6" s="9"/>
      <c r="G6" s="9"/>
      <c r="H6" s="9"/>
      <c r="I6" s="6" t="str">
        <f aca="false">IF(COUNTA(F6:H6)&gt;0,AVERAGE(F6:H6),"")</f>
        <v/>
      </c>
      <c r="J6" s="9"/>
      <c r="K6" s="6" t="str">
        <f aca="false">IF(J6&lt;&gt;"",J6*1.15,"")</f>
        <v/>
      </c>
      <c r="L6" s="9"/>
      <c r="M6" s="6" t="str">
        <f aca="false">IF(AND(L6&lt;&gt;""),"Calcular manual","")</f>
        <v/>
      </c>
      <c r="N6" s="9"/>
      <c r="O6" s="6" t="n">
        <f aca="false">IF(COUNTA(I6,K6,N6)&gt;0,MIN(IF(I6&lt;&gt;"",I6,999),IF(K6&lt;&gt;"",K6,999),IF(N6&lt;&gt;"",N6,999)),"")</f>
        <v>999</v>
      </c>
      <c r="P6" s="6" t="str">
        <f aca="false">IF(AND(E6&lt;&gt;"",O6&lt;&gt;"",O6&gt;0,O6&lt;999),(E6-O6)/O6,"")</f>
        <v/>
      </c>
      <c r="Q6" s="6" t="str">
        <f aca="false">IF(AND(E6&lt;&gt;"",O6&lt;&gt;"",O6&lt;999),MAX(0,E6-O6)*0,"Vincular vol.")</f>
        <v>Vincular vol.</v>
      </c>
      <c r="R6" s="9"/>
    </row>
    <row r="7" customFormat="false" ht="15" hidden="false" customHeight="true" outlineLevel="0" collapsed="false">
      <c r="A7" s="15" t="n">
        <v>4</v>
      </c>
      <c r="B7" s="9"/>
      <c r="C7" s="9"/>
      <c r="D7" s="9"/>
      <c r="E7" s="9"/>
      <c r="F7" s="9"/>
      <c r="G7" s="9"/>
      <c r="H7" s="9"/>
      <c r="I7" s="6" t="str">
        <f aca="false">IF(COUNTA(F7:H7)&gt;0,AVERAGE(F7:H7),"")</f>
        <v/>
      </c>
      <c r="J7" s="9"/>
      <c r="K7" s="6" t="str">
        <f aca="false">IF(J7&lt;&gt;"",J7*1.15,"")</f>
        <v/>
      </c>
      <c r="L7" s="9"/>
      <c r="M7" s="6" t="str">
        <f aca="false">IF(AND(L7&lt;&gt;""),"Calcular manual","")</f>
        <v/>
      </c>
      <c r="N7" s="9"/>
      <c r="O7" s="6" t="n">
        <f aca="false">IF(COUNTA(I7,K7,N7)&gt;0,MIN(IF(I7&lt;&gt;"",I7,999),IF(K7&lt;&gt;"",K7,999),IF(N7&lt;&gt;"",N7,999)),"")</f>
        <v>999</v>
      </c>
      <c r="P7" s="6" t="str">
        <f aca="false">IF(AND(E7&lt;&gt;"",O7&lt;&gt;"",O7&gt;0,O7&lt;999),(E7-O7)/O7,"")</f>
        <v/>
      </c>
      <c r="Q7" s="6" t="str">
        <f aca="false">IF(AND(E7&lt;&gt;"",O7&lt;&gt;"",O7&lt;999),MAX(0,E7-O7)*0,"Vincular vol.")</f>
        <v>Vincular vol.</v>
      </c>
      <c r="R7" s="9"/>
    </row>
    <row r="8" customFormat="false" ht="15" hidden="false" customHeight="true" outlineLevel="0" collapsed="false">
      <c r="A8" s="15" t="n">
        <v>5</v>
      </c>
      <c r="B8" s="9"/>
      <c r="C8" s="9"/>
      <c r="D8" s="9"/>
      <c r="E8" s="9"/>
      <c r="F8" s="9"/>
      <c r="G8" s="9"/>
      <c r="H8" s="9"/>
      <c r="I8" s="6" t="str">
        <f aca="false">IF(COUNTA(F8:H8)&gt;0,AVERAGE(F8:H8),"")</f>
        <v/>
      </c>
      <c r="J8" s="9"/>
      <c r="K8" s="6" t="str">
        <f aca="false">IF(J8&lt;&gt;"",J8*1.15,"")</f>
        <v/>
      </c>
      <c r="L8" s="9"/>
      <c r="M8" s="6" t="str">
        <f aca="false">IF(AND(L8&lt;&gt;""),"Calcular manual","")</f>
        <v/>
      </c>
      <c r="N8" s="9"/>
      <c r="O8" s="6" t="n">
        <f aca="false">IF(COUNTA(I8,K8,N8)&gt;0,MIN(IF(I8&lt;&gt;"",I8,999),IF(K8&lt;&gt;"",K8,999),IF(N8&lt;&gt;"",N8,999)),"")</f>
        <v>999</v>
      </c>
      <c r="P8" s="6" t="str">
        <f aca="false">IF(AND(E8&lt;&gt;"",O8&lt;&gt;"",O8&gt;0,O8&lt;999),(E8-O8)/O8,"")</f>
        <v/>
      </c>
      <c r="Q8" s="6" t="str">
        <f aca="false">IF(AND(E8&lt;&gt;"",O8&lt;&gt;"",O8&lt;999),MAX(0,E8-O8)*0,"Vincular vol.")</f>
        <v>Vincular vol.</v>
      </c>
      <c r="R8" s="9"/>
    </row>
    <row r="9" customFormat="false" ht="15" hidden="false" customHeight="true" outlineLevel="0" collapsed="false">
      <c r="A9" s="15" t="n">
        <v>6</v>
      </c>
      <c r="B9" s="9"/>
      <c r="C9" s="9"/>
      <c r="D9" s="9"/>
      <c r="E9" s="9"/>
      <c r="F9" s="9"/>
      <c r="G9" s="9"/>
      <c r="H9" s="9"/>
      <c r="I9" s="6" t="str">
        <f aca="false">IF(COUNTA(F9:H9)&gt;0,AVERAGE(F9:H9),"")</f>
        <v/>
      </c>
      <c r="J9" s="9"/>
      <c r="K9" s="6" t="str">
        <f aca="false">IF(J9&lt;&gt;"",J9*1.15,"")</f>
        <v/>
      </c>
      <c r="L9" s="9"/>
      <c r="M9" s="6" t="str">
        <f aca="false">IF(AND(L9&lt;&gt;""),"Calcular manual","")</f>
        <v/>
      </c>
      <c r="N9" s="9"/>
      <c r="O9" s="6" t="n">
        <f aca="false">IF(COUNTA(I9,K9,N9)&gt;0,MIN(IF(I9&lt;&gt;"",I9,999),IF(K9&lt;&gt;"",K9,999),IF(N9&lt;&gt;"",N9,999)),"")</f>
        <v>999</v>
      </c>
      <c r="P9" s="6" t="str">
        <f aca="false">IF(AND(E9&lt;&gt;"",O9&lt;&gt;"",O9&gt;0,O9&lt;999),(E9-O9)/O9,"")</f>
        <v/>
      </c>
      <c r="Q9" s="6" t="str">
        <f aca="false">IF(AND(E9&lt;&gt;"",O9&lt;&gt;"",O9&lt;999),MAX(0,E9-O9)*0,"Vincular vol.")</f>
        <v>Vincular vol.</v>
      </c>
      <c r="R9" s="9"/>
    </row>
    <row r="10" customFormat="false" ht="15" hidden="false" customHeight="true" outlineLevel="0" collapsed="false">
      <c r="A10" s="15" t="n">
        <v>7</v>
      </c>
      <c r="B10" s="9"/>
      <c r="C10" s="9"/>
      <c r="D10" s="9"/>
      <c r="E10" s="9"/>
      <c r="F10" s="9"/>
      <c r="G10" s="9"/>
      <c r="H10" s="9"/>
      <c r="I10" s="6" t="str">
        <f aca="false">IF(COUNTA(F10:H10)&gt;0,AVERAGE(F10:H10),"")</f>
        <v/>
      </c>
      <c r="J10" s="9"/>
      <c r="K10" s="6" t="str">
        <f aca="false">IF(J10&lt;&gt;"",J10*1.15,"")</f>
        <v/>
      </c>
      <c r="L10" s="9"/>
      <c r="M10" s="6" t="str">
        <f aca="false">IF(AND(L10&lt;&gt;""),"Calcular manual","")</f>
        <v/>
      </c>
      <c r="N10" s="9"/>
      <c r="O10" s="6" t="n">
        <f aca="false">IF(COUNTA(I10,K10,N10)&gt;0,MIN(IF(I10&lt;&gt;"",I10,999),IF(K10&lt;&gt;"",K10,999),IF(N10&lt;&gt;"",N10,999)),"")</f>
        <v>999</v>
      </c>
      <c r="P10" s="6" t="str">
        <f aca="false">IF(AND(E10&lt;&gt;"",O10&lt;&gt;"",O10&gt;0,O10&lt;999),(E10-O10)/O10,"")</f>
        <v/>
      </c>
      <c r="Q10" s="6" t="str">
        <f aca="false">IF(AND(E10&lt;&gt;"",O10&lt;&gt;"",O10&lt;999),MAX(0,E10-O10)*0,"Vincular vol.")</f>
        <v>Vincular vol.</v>
      </c>
      <c r="R10" s="9"/>
    </row>
    <row r="11" customFormat="false" ht="15" hidden="false" customHeight="true" outlineLevel="0" collapsed="false">
      <c r="A11" s="15" t="n">
        <v>8</v>
      </c>
      <c r="B11" s="9"/>
      <c r="C11" s="9"/>
      <c r="D11" s="9"/>
      <c r="E11" s="9"/>
      <c r="F11" s="9"/>
      <c r="G11" s="9"/>
      <c r="H11" s="9"/>
      <c r="I11" s="6" t="str">
        <f aca="false">IF(COUNTA(F11:H11)&gt;0,AVERAGE(F11:H11),"")</f>
        <v/>
      </c>
      <c r="J11" s="9"/>
      <c r="K11" s="6" t="str">
        <f aca="false">IF(J11&lt;&gt;"",J11*1.15,"")</f>
        <v/>
      </c>
      <c r="L11" s="9"/>
      <c r="M11" s="6" t="str">
        <f aca="false">IF(AND(L11&lt;&gt;""),"Calcular manual","")</f>
        <v/>
      </c>
      <c r="N11" s="9"/>
      <c r="O11" s="6" t="n">
        <f aca="false">IF(COUNTA(I11,K11,N11)&gt;0,MIN(IF(I11&lt;&gt;"",I11,999),IF(K11&lt;&gt;"",K11,999),IF(N11&lt;&gt;"",N11,999)),"")</f>
        <v>999</v>
      </c>
      <c r="P11" s="6" t="str">
        <f aca="false">IF(AND(E11&lt;&gt;"",O11&lt;&gt;"",O11&gt;0,O11&lt;999),(E11-O11)/O11,"")</f>
        <v/>
      </c>
      <c r="Q11" s="6" t="str">
        <f aca="false">IF(AND(E11&lt;&gt;"",O11&lt;&gt;"",O11&lt;999),MAX(0,E11-O11)*0,"Vincular vol.")</f>
        <v>Vincular vol.</v>
      </c>
      <c r="R11" s="9"/>
    </row>
    <row r="12" customFormat="false" ht="15" hidden="false" customHeight="true" outlineLevel="0" collapsed="false">
      <c r="A12" s="15" t="n">
        <v>9</v>
      </c>
      <c r="B12" s="9"/>
      <c r="C12" s="9"/>
      <c r="D12" s="9"/>
      <c r="E12" s="9"/>
      <c r="F12" s="9"/>
      <c r="G12" s="9"/>
      <c r="H12" s="9"/>
      <c r="I12" s="6" t="str">
        <f aca="false">IF(COUNTA(F12:H12)&gt;0,AVERAGE(F12:H12),"")</f>
        <v/>
      </c>
      <c r="J12" s="9"/>
      <c r="K12" s="6" t="str">
        <f aca="false">IF(J12&lt;&gt;"",J12*1.15,"")</f>
        <v/>
      </c>
      <c r="L12" s="9"/>
      <c r="M12" s="6" t="str">
        <f aca="false">IF(AND(L12&lt;&gt;""),"Calcular manual","")</f>
        <v/>
      </c>
      <c r="N12" s="9"/>
      <c r="O12" s="6" t="n">
        <f aca="false">IF(COUNTA(I12,K12,N12)&gt;0,MIN(IF(I12&lt;&gt;"",I12,999),IF(K12&lt;&gt;"",K12,999),IF(N12&lt;&gt;"",N12,999)),"")</f>
        <v>999</v>
      </c>
      <c r="P12" s="6" t="str">
        <f aca="false">IF(AND(E12&lt;&gt;"",O12&lt;&gt;"",O12&gt;0,O12&lt;999),(E12-O12)/O12,"")</f>
        <v/>
      </c>
      <c r="Q12" s="6" t="str">
        <f aca="false">IF(AND(E12&lt;&gt;"",O12&lt;&gt;"",O12&lt;999),MAX(0,E12-O12)*0,"Vincular vol.")</f>
        <v>Vincular vol.</v>
      </c>
      <c r="R12" s="9"/>
    </row>
    <row r="13" customFormat="false" ht="15" hidden="false" customHeight="true" outlineLevel="0" collapsed="false">
      <c r="A13" s="15" t="n">
        <v>10</v>
      </c>
      <c r="B13" s="9"/>
      <c r="C13" s="9"/>
      <c r="D13" s="9"/>
      <c r="E13" s="9"/>
      <c r="F13" s="9"/>
      <c r="G13" s="9"/>
      <c r="H13" s="9"/>
      <c r="I13" s="6" t="str">
        <f aca="false">IF(COUNTA(F13:H13)&gt;0,AVERAGE(F13:H13),"")</f>
        <v/>
      </c>
      <c r="J13" s="9"/>
      <c r="K13" s="6" t="str">
        <f aca="false">IF(J13&lt;&gt;"",J13*1.15,"")</f>
        <v/>
      </c>
      <c r="L13" s="9"/>
      <c r="M13" s="6" t="str">
        <f aca="false">IF(AND(L13&lt;&gt;""),"Calcular manual","")</f>
        <v/>
      </c>
      <c r="N13" s="9"/>
      <c r="O13" s="6" t="n">
        <f aca="false">IF(COUNTA(I13,K13,N13)&gt;0,MIN(IF(I13&lt;&gt;"",I13,999),IF(K13&lt;&gt;"",K13,999),IF(N13&lt;&gt;"",N13,999)),"")</f>
        <v>999</v>
      </c>
      <c r="P13" s="6" t="str">
        <f aca="false">IF(AND(E13&lt;&gt;"",O13&lt;&gt;"",O13&gt;0,O13&lt;999),(E13-O13)/O13,"")</f>
        <v/>
      </c>
      <c r="Q13" s="6" t="str">
        <f aca="false">IF(AND(E13&lt;&gt;"",O13&lt;&gt;"",O13&lt;999),MAX(0,E13-O13)*0,"Vincular vol.")</f>
        <v>Vincular vol.</v>
      </c>
      <c r="R13" s="9"/>
    </row>
    <row r="14" customFormat="false" ht="15" hidden="false" customHeight="true" outlineLevel="0" collapsed="false">
      <c r="A14" s="15" t="n">
        <v>11</v>
      </c>
      <c r="B14" s="9"/>
      <c r="C14" s="9"/>
      <c r="D14" s="9"/>
      <c r="E14" s="9"/>
      <c r="F14" s="9"/>
      <c r="G14" s="9"/>
      <c r="H14" s="9"/>
      <c r="I14" s="6" t="str">
        <f aca="false">IF(COUNTA(F14:H14)&gt;0,AVERAGE(F14:H14),"")</f>
        <v/>
      </c>
      <c r="J14" s="9"/>
      <c r="K14" s="6" t="str">
        <f aca="false">IF(J14&lt;&gt;"",J14*1.15,"")</f>
        <v/>
      </c>
      <c r="L14" s="9"/>
      <c r="M14" s="6" t="str">
        <f aca="false">IF(AND(L14&lt;&gt;""),"Calcular manual","")</f>
        <v/>
      </c>
      <c r="N14" s="9"/>
      <c r="O14" s="6" t="n">
        <f aca="false">IF(COUNTA(I14,K14,N14)&gt;0,MIN(IF(I14&lt;&gt;"",I14,999),IF(K14&lt;&gt;"",K14,999),IF(N14&lt;&gt;"",N14,999)),"")</f>
        <v>999</v>
      </c>
      <c r="P14" s="6" t="str">
        <f aca="false">IF(AND(E14&lt;&gt;"",O14&lt;&gt;"",O14&gt;0,O14&lt;999),(E14-O14)/O14,"")</f>
        <v/>
      </c>
      <c r="Q14" s="6" t="str">
        <f aca="false">IF(AND(E14&lt;&gt;"",O14&lt;&gt;"",O14&lt;999),MAX(0,E14-O14)*0,"Vincular vol.")</f>
        <v>Vincular vol.</v>
      </c>
      <c r="R14" s="9"/>
    </row>
    <row r="15" customFormat="false" ht="15" hidden="false" customHeight="true" outlineLevel="0" collapsed="false">
      <c r="A15" s="15" t="n">
        <v>12</v>
      </c>
      <c r="B15" s="9"/>
      <c r="C15" s="9"/>
      <c r="D15" s="9"/>
      <c r="E15" s="9"/>
      <c r="F15" s="9"/>
      <c r="G15" s="9"/>
      <c r="H15" s="9"/>
      <c r="I15" s="6" t="str">
        <f aca="false">IF(COUNTA(F15:H15)&gt;0,AVERAGE(F15:H15),"")</f>
        <v/>
      </c>
      <c r="J15" s="9"/>
      <c r="K15" s="6" t="str">
        <f aca="false">IF(J15&lt;&gt;"",J15*1.15,"")</f>
        <v/>
      </c>
      <c r="L15" s="9"/>
      <c r="M15" s="6" t="str">
        <f aca="false">IF(AND(L15&lt;&gt;""),"Calcular manual","")</f>
        <v/>
      </c>
      <c r="N15" s="9"/>
      <c r="O15" s="6" t="n">
        <f aca="false">IF(COUNTA(I15,K15,N15)&gt;0,MIN(IF(I15&lt;&gt;"",I15,999),IF(K15&lt;&gt;"",K15,999),IF(N15&lt;&gt;"",N15,999)),"")</f>
        <v>999</v>
      </c>
      <c r="P15" s="6" t="str">
        <f aca="false">IF(AND(E15&lt;&gt;"",O15&lt;&gt;"",O15&gt;0,O15&lt;999),(E15-O15)/O15,"")</f>
        <v/>
      </c>
      <c r="Q15" s="6" t="str">
        <f aca="false">IF(AND(E15&lt;&gt;"",O15&lt;&gt;"",O15&lt;999),MAX(0,E15-O15)*0,"Vincular vol.")</f>
        <v>Vincular vol.</v>
      </c>
      <c r="R15" s="9"/>
    </row>
    <row r="16" customFormat="false" ht="15" hidden="false" customHeight="true" outlineLevel="0" collapsed="false">
      <c r="A16" s="15" t="n">
        <v>13</v>
      </c>
      <c r="B16" s="9"/>
      <c r="C16" s="9"/>
      <c r="D16" s="9"/>
      <c r="E16" s="9"/>
      <c r="F16" s="9"/>
      <c r="G16" s="9"/>
      <c r="H16" s="9"/>
      <c r="I16" s="6" t="str">
        <f aca="false">IF(COUNTA(F16:H16)&gt;0,AVERAGE(F16:H16),"")</f>
        <v/>
      </c>
      <c r="J16" s="9"/>
      <c r="K16" s="6" t="str">
        <f aca="false">IF(J16&lt;&gt;"",J16*1.15,"")</f>
        <v/>
      </c>
      <c r="L16" s="9"/>
      <c r="M16" s="6" t="str">
        <f aca="false">IF(AND(L16&lt;&gt;""),"Calcular manual","")</f>
        <v/>
      </c>
      <c r="N16" s="9"/>
      <c r="O16" s="6" t="n">
        <f aca="false">IF(COUNTA(I16,K16,N16)&gt;0,MIN(IF(I16&lt;&gt;"",I16,999),IF(K16&lt;&gt;"",K16,999),IF(N16&lt;&gt;"",N16,999)),"")</f>
        <v>999</v>
      </c>
      <c r="P16" s="6" t="str">
        <f aca="false">IF(AND(E16&lt;&gt;"",O16&lt;&gt;"",O16&gt;0,O16&lt;999),(E16-O16)/O16,"")</f>
        <v/>
      </c>
      <c r="Q16" s="6" t="str">
        <f aca="false">IF(AND(E16&lt;&gt;"",O16&lt;&gt;"",O16&lt;999),MAX(0,E16-O16)*0,"Vincular vol.")</f>
        <v>Vincular vol.</v>
      </c>
      <c r="R16" s="9"/>
    </row>
    <row r="17" customFormat="false" ht="15" hidden="false" customHeight="true" outlineLevel="0" collapsed="false">
      <c r="A17" s="15" t="n">
        <v>14</v>
      </c>
      <c r="B17" s="9"/>
      <c r="C17" s="9"/>
      <c r="D17" s="9"/>
      <c r="E17" s="9"/>
      <c r="F17" s="9"/>
      <c r="G17" s="9"/>
      <c r="H17" s="9"/>
      <c r="I17" s="6" t="str">
        <f aca="false">IF(COUNTA(F17:H17)&gt;0,AVERAGE(F17:H17),"")</f>
        <v/>
      </c>
      <c r="J17" s="9"/>
      <c r="K17" s="6" t="str">
        <f aca="false">IF(J17&lt;&gt;"",J17*1.15,"")</f>
        <v/>
      </c>
      <c r="L17" s="9"/>
      <c r="M17" s="6" t="str">
        <f aca="false">IF(AND(L17&lt;&gt;""),"Calcular manual","")</f>
        <v/>
      </c>
      <c r="N17" s="9"/>
      <c r="O17" s="6" t="n">
        <f aca="false">IF(COUNTA(I17,K17,N17)&gt;0,MIN(IF(I17&lt;&gt;"",I17,999),IF(K17&lt;&gt;"",K17,999),IF(N17&lt;&gt;"",N17,999)),"")</f>
        <v>999</v>
      </c>
      <c r="P17" s="6" t="str">
        <f aca="false">IF(AND(E17&lt;&gt;"",O17&lt;&gt;"",O17&gt;0,O17&lt;999),(E17-O17)/O17,"")</f>
        <v/>
      </c>
      <c r="Q17" s="6" t="str">
        <f aca="false">IF(AND(E17&lt;&gt;"",O17&lt;&gt;"",O17&lt;999),MAX(0,E17-O17)*0,"Vincular vol.")</f>
        <v>Vincular vol.</v>
      </c>
      <c r="R17" s="9"/>
    </row>
    <row r="18" customFormat="false" ht="15" hidden="false" customHeight="true" outlineLevel="0" collapsed="false">
      <c r="A18" s="15" t="n">
        <v>15</v>
      </c>
      <c r="B18" s="9"/>
      <c r="C18" s="9"/>
      <c r="D18" s="9"/>
      <c r="E18" s="9"/>
      <c r="F18" s="9"/>
      <c r="G18" s="9"/>
      <c r="H18" s="9"/>
      <c r="I18" s="6" t="str">
        <f aca="false">IF(COUNTA(F18:H18)&gt;0,AVERAGE(F18:H18),"")</f>
        <v/>
      </c>
      <c r="J18" s="9"/>
      <c r="K18" s="6" t="str">
        <f aca="false">IF(J18&lt;&gt;"",J18*1.15,"")</f>
        <v/>
      </c>
      <c r="L18" s="9"/>
      <c r="M18" s="6" t="str">
        <f aca="false">IF(AND(L18&lt;&gt;""),"Calcular manual","")</f>
        <v/>
      </c>
      <c r="N18" s="9"/>
      <c r="O18" s="6" t="n">
        <f aca="false">IF(COUNTA(I18,K18,N18)&gt;0,MIN(IF(I18&lt;&gt;"",I18,999),IF(K18&lt;&gt;"",K18,999),IF(N18&lt;&gt;"",N18,999)),"")</f>
        <v>999</v>
      </c>
      <c r="P18" s="6" t="str">
        <f aca="false">IF(AND(E18&lt;&gt;"",O18&lt;&gt;"",O18&gt;0,O18&lt;999),(E18-O18)/O18,"")</f>
        <v/>
      </c>
      <c r="Q18" s="6" t="str">
        <f aca="false">IF(AND(E18&lt;&gt;"",O18&lt;&gt;"",O18&lt;999),MAX(0,E18-O18)*0,"Vincular vol.")</f>
        <v>Vincular vol.</v>
      </c>
      <c r="R18" s="9"/>
    </row>
    <row r="19" customFormat="false" ht="15" hidden="false" customHeight="true" outlineLevel="0" collapsed="false">
      <c r="A19" s="15" t="n">
        <v>16</v>
      </c>
      <c r="B19" s="9"/>
      <c r="C19" s="9"/>
      <c r="D19" s="9"/>
      <c r="E19" s="9"/>
      <c r="F19" s="9"/>
      <c r="G19" s="9"/>
      <c r="H19" s="9"/>
      <c r="I19" s="6" t="str">
        <f aca="false">IF(COUNTA(F19:H19)&gt;0,AVERAGE(F19:H19),"")</f>
        <v/>
      </c>
      <c r="J19" s="9"/>
      <c r="K19" s="6" t="str">
        <f aca="false">IF(J19&lt;&gt;"",J19*1.15,"")</f>
        <v/>
      </c>
      <c r="L19" s="9"/>
      <c r="M19" s="6" t="str">
        <f aca="false">IF(AND(L19&lt;&gt;""),"Calcular manual","")</f>
        <v/>
      </c>
      <c r="N19" s="9"/>
      <c r="O19" s="6" t="n">
        <f aca="false">IF(COUNTA(I19,K19,N19)&gt;0,MIN(IF(I19&lt;&gt;"",I19,999),IF(K19&lt;&gt;"",K19,999),IF(N19&lt;&gt;"",N19,999)),"")</f>
        <v>999</v>
      </c>
      <c r="P19" s="6" t="str">
        <f aca="false">IF(AND(E19&lt;&gt;"",O19&lt;&gt;"",O19&gt;0,O19&lt;999),(E19-O19)/O19,"")</f>
        <v/>
      </c>
      <c r="Q19" s="6" t="str">
        <f aca="false">IF(AND(E19&lt;&gt;"",O19&lt;&gt;"",O19&lt;999),MAX(0,E19-O19)*0,"Vincular vol.")</f>
        <v>Vincular vol.</v>
      </c>
      <c r="R19" s="9"/>
    </row>
    <row r="20" customFormat="false" ht="15" hidden="false" customHeight="true" outlineLevel="0" collapsed="false">
      <c r="A20" s="15" t="n">
        <v>17</v>
      </c>
      <c r="B20" s="9"/>
      <c r="C20" s="9"/>
      <c r="D20" s="9"/>
      <c r="E20" s="9"/>
      <c r="F20" s="9"/>
      <c r="G20" s="9"/>
      <c r="H20" s="9"/>
      <c r="I20" s="6" t="str">
        <f aca="false">IF(COUNTA(F20:H20)&gt;0,AVERAGE(F20:H20),"")</f>
        <v/>
      </c>
      <c r="J20" s="9"/>
      <c r="K20" s="6" t="str">
        <f aca="false">IF(J20&lt;&gt;"",J20*1.15,"")</f>
        <v/>
      </c>
      <c r="L20" s="9"/>
      <c r="M20" s="6" t="str">
        <f aca="false">IF(AND(L20&lt;&gt;""),"Calcular manual","")</f>
        <v/>
      </c>
      <c r="N20" s="9"/>
      <c r="O20" s="6" t="n">
        <f aca="false">IF(COUNTA(I20,K20,N20)&gt;0,MIN(IF(I20&lt;&gt;"",I20,999),IF(K20&lt;&gt;"",K20,999),IF(N20&lt;&gt;"",N20,999)),"")</f>
        <v>999</v>
      </c>
      <c r="P20" s="6" t="str">
        <f aca="false">IF(AND(E20&lt;&gt;"",O20&lt;&gt;"",O20&gt;0,O20&lt;999),(E20-O20)/O20,"")</f>
        <v/>
      </c>
      <c r="Q20" s="6" t="str">
        <f aca="false">IF(AND(E20&lt;&gt;"",O20&lt;&gt;"",O20&lt;999),MAX(0,E20-O20)*0,"Vincular vol.")</f>
        <v>Vincular vol.</v>
      </c>
      <c r="R20" s="9"/>
    </row>
    <row r="21" customFormat="false" ht="15" hidden="false" customHeight="true" outlineLevel="0" collapsed="false">
      <c r="A21" s="15" t="n">
        <v>18</v>
      </c>
      <c r="B21" s="9"/>
      <c r="C21" s="9"/>
      <c r="D21" s="9"/>
      <c r="E21" s="9"/>
      <c r="F21" s="9"/>
      <c r="G21" s="9"/>
      <c r="H21" s="9"/>
      <c r="I21" s="6" t="str">
        <f aca="false">IF(COUNTA(F21:H21)&gt;0,AVERAGE(F21:H21),"")</f>
        <v/>
      </c>
      <c r="J21" s="9"/>
      <c r="K21" s="6" t="str">
        <f aca="false">IF(J21&lt;&gt;"",J21*1.15,"")</f>
        <v/>
      </c>
      <c r="L21" s="9"/>
      <c r="M21" s="6" t="str">
        <f aca="false">IF(AND(L21&lt;&gt;""),"Calcular manual","")</f>
        <v/>
      </c>
      <c r="N21" s="9"/>
      <c r="O21" s="6" t="n">
        <f aca="false">IF(COUNTA(I21,K21,N21)&gt;0,MIN(IF(I21&lt;&gt;"",I21,999),IF(K21&lt;&gt;"",K21,999),IF(N21&lt;&gt;"",N21,999)),"")</f>
        <v>999</v>
      </c>
      <c r="P21" s="6" t="str">
        <f aca="false">IF(AND(E21&lt;&gt;"",O21&lt;&gt;"",O21&gt;0,O21&lt;999),(E21-O21)/O21,"")</f>
        <v/>
      </c>
      <c r="Q21" s="6" t="str">
        <f aca="false">IF(AND(E21&lt;&gt;"",O21&lt;&gt;"",O21&lt;999),MAX(0,E21-O21)*0,"Vincular vol.")</f>
        <v>Vincular vol.</v>
      </c>
      <c r="R21" s="9"/>
    </row>
    <row r="22" customFormat="false" ht="15" hidden="false" customHeight="true" outlineLevel="0" collapsed="false">
      <c r="A22" s="15" t="n">
        <v>19</v>
      </c>
      <c r="B22" s="9"/>
      <c r="C22" s="9"/>
      <c r="D22" s="9"/>
      <c r="E22" s="9"/>
      <c r="F22" s="9"/>
      <c r="G22" s="9"/>
      <c r="H22" s="9"/>
      <c r="I22" s="6" t="str">
        <f aca="false">IF(COUNTA(F22:H22)&gt;0,AVERAGE(F22:H22),"")</f>
        <v/>
      </c>
      <c r="J22" s="9"/>
      <c r="K22" s="6" t="str">
        <f aca="false">IF(J22&lt;&gt;"",J22*1.15,"")</f>
        <v/>
      </c>
      <c r="L22" s="9"/>
      <c r="M22" s="6" t="str">
        <f aca="false">IF(AND(L22&lt;&gt;""),"Calcular manual","")</f>
        <v/>
      </c>
      <c r="N22" s="9"/>
      <c r="O22" s="6" t="n">
        <f aca="false">IF(COUNTA(I22,K22,N22)&gt;0,MIN(IF(I22&lt;&gt;"",I22,999),IF(K22&lt;&gt;"",K22,999),IF(N22&lt;&gt;"",N22,999)),"")</f>
        <v>999</v>
      </c>
      <c r="P22" s="6" t="str">
        <f aca="false">IF(AND(E22&lt;&gt;"",O22&lt;&gt;"",O22&gt;0,O22&lt;999),(E22-O22)/O22,"")</f>
        <v/>
      </c>
      <c r="Q22" s="6" t="str">
        <f aca="false">IF(AND(E22&lt;&gt;"",O22&lt;&gt;"",O22&lt;999),MAX(0,E22-O22)*0,"Vincular vol.")</f>
        <v>Vincular vol.</v>
      </c>
      <c r="R22" s="9"/>
    </row>
    <row r="23" customFormat="false" ht="15" hidden="false" customHeight="true" outlineLevel="0" collapsed="false">
      <c r="A23" s="15" t="n">
        <v>20</v>
      </c>
      <c r="B23" s="9"/>
      <c r="C23" s="9"/>
      <c r="D23" s="9"/>
      <c r="E23" s="9"/>
      <c r="F23" s="9"/>
      <c r="G23" s="9"/>
      <c r="H23" s="9"/>
      <c r="I23" s="6" t="str">
        <f aca="false">IF(COUNTA(F23:H23)&gt;0,AVERAGE(F23:H23),"")</f>
        <v/>
      </c>
      <c r="J23" s="9"/>
      <c r="K23" s="6" t="str">
        <f aca="false">IF(J23&lt;&gt;"",J23*1.15,"")</f>
        <v/>
      </c>
      <c r="L23" s="9"/>
      <c r="M23" s="6" t="str">
        <f aca="false">IF(AND(L23&lt;&gt;""),"Calcular manual","")</f>
        <v/>
      </c>
      <c r="N23" s="9"/>
      <c r="O23" s="6" t="n">
        <f aca="false">IF(COUNTA(I23,K23,N23)&gt;0,MIN(IF(I23&lt;&gt;"",I23,999),IF(K23&lt;&gt;"",K23,999),IF(N23&lt;&gt;"",N23,999)),"")</f>
        <v>999</v>
      </c>
      <c r="P23" s="6" t="str">
        <f aca="false">IF(AND(E23&lt;&gt;"",O23&lt;&gt;"",O23&gt;0,O23&lt;999),(E23-O23)/O23,"")</f>
        <v/>
      </c>
      <c r="Q23" s="6" t="str">
        <f aca="false">IF(AND(E23&lt;&gt;"",O23&lt;&gt;"",O23&lt;999),MAX(0,E23-O23)*0,"Vincular vol.")</f>
        <v>Vincular vol.</v>
      </c>
      <c r="R23" s="9"/>
    </row>
    <row r="24" customFormat="false" ht="15" hidden="false" customHeight="true" outlineLevel="0" collapsed="false">
      <c r="A24" s="15" t="n">
        <v>21</v>
      </c>
      <c r="B24" s="9"/>
      <c r="C24" s="9"/>
      <c r="D24" s="9"/>
      <c r="E24" s="9"/>
      <c r="F24" s="9"/>
      <c r="G24" s="9"/>
      <c r="H24" s="9"/>
      <c r="I24" s="6" t="str">
        <f aca="false">IF(COUNTA(F24:H24)&gt;0,AVERAGE(F24:H24),"")</f>
        <v/>
      </c>
      <c r="J24" s="9"/>
      <c r="K24" s="6" t="str">
        <f aca="false">IF(J24&lt;&gt;"",J24*1.15,"")</f>
        <v/>
      </c>
      <c r="L24" s="9"/>
      <c r="M24" s="6" t="str">
        <f aca="false">IF(AND(L24&lt;&gt;""),"Calcular manual","")</f>
        <v/>
      </c>
      <c r="N24" s="9"/>
      <c r="O24" s="6" t="n">
        <f aca="false">IF(COUNTA(I24,K24,N24)&gt;0,MIN(IF(I24&lt;&gt;"",I24,999),IF(K24&lt;&gt;"",K24,999),IF(N24&lt;&gt;"",N24,999)),"")</f>
        <v>999</v>
      </c>
      <c r="P24" s="6" t="str">
        <f aca="false">IF(AND(E24&lt;&gt;"",O24&lt;&gt;"",O24&gt;0,O24&lt;999),(E24-O24)/O24,"")</f>
        <v/>
      </c>
      <c r="Q24" s="6" t="str">
        <f aca="false">IF(AND(E24&lt;&gt;"",O24&lt;&gt;"",O24&lt;999),MAX(0,E24-O24)*0,"Vincular vol.")</f>
        <v>Vincular vol.</v>
      </c>
      <c r="R24" s="9"/>
    </row>
    <row r="25" customFormat="false" ht="15" hidden="false" customHeight="true" outlineLevel="0" collapsed="false">
      <c r="A25" s="15" t="n">
        <v>22</v>
      </c>
      <c r="B25" s="9"/>
      <c r="C25" s="9"/>
      <c r="D25" s="9"/>
      <c r="E25" s="9"/>
      <c r="F25" s="9"/>
      <c r="G25" s="9"/>
      <c r="H25" s="9"/>
      <c r="I25" s="6" t="str">
        <f aca="false">IF(COUNTA(F25:H25)&gt;0,AVERAGE(F25:H25),"")</f>
        <v/>
      </c>
      <c r="J25" s="9"/>
      <c r="K25" s="6" t="str">
        <f aca="false">IF(J25&lt;&gt;"",J25*1.15,"")</f>
        <v/>
      </c>
      <c r="L25" s="9"/>
      <c r="M25" s="6" t="str">
        <f aca="false">IF(AND(L25&lt;&gt;""),"Calcular manual","")</f>
        <v/>
      </c>
      <c r="N25" s="9"/>
      <c r="O25" s="6" t="n">
        <f aca="false">IF(COUNTA(I25,K25,N25)&gt;0,MIN(IF(I25&lt;&gt;"",I25,999),IF(K25&lt;&gt;"",K25,999),IF(N25&lt;&gt;"",N25,999)),"")</f>
        <v>999</v>
      </c>
      <c r="P25" s="6" t="str">
        <f aca="false">IF(AND(E25&lt;&gt;"",O25&lt;&gt;"",O25&gt;0,O25&lt;999),(E25-O25)/O25,"")</f>
        <v/>
      </c>
      <c r="Q25" s="6" t="str">
        <f aca="false">IF(AND(E25&lt;&gt;"",O25&lt;&gt;"",O25&lt;999),MAX(0,E25-O25)*0,"Vincular vol.")</f>
        <v>Vincular vol.</v>
      </c>
      <c r="R25" s="9"/>
    </row>
    <row r="26" customFormat="false" ht="15" hidden="false" customHeight="true" outlineLevel="0" collapsed="false">
      <c r="A26" s="15" t="n">
        <v>23</v>
      </c>
      <c r="B26" s="9"/>
      <c r="C26" s="9"/>
      <c r="D26" s="9"/>
      <c r="E26" s="9"/>
      <c r="F26" s="9"/>
      <c r="G26" s="9"/>
      <c r="H26" s="9"/>
      <c r="I26" s="6" t="str">
        <f aca="false">IF(COUNTA(F26:H26)&gt;0,AVERAGE(F26:H26),"")</f>
        <v/>
      </c>
      <c r="J26" s="9"/>
      <c r="K26" s="6" t="str">
        <f aca="false">IF(J26&lt;&gt;"",J26*1.15,"")</f>
        <v/>
      </c>
      <c r="L26" s="9"/>
      <c r="M26" s="6" t="str">
        <f aca="false">IF(AND(L26&lt;&gt;""),"Calcular manual","")</f>
        <v/>
      </c>
      <c r="N26" s="9"/>
      <c r="O26" s="6" t="n">
        <f aca="false">IF(COUNTA(I26,K26,N26)&gt;0,MIN(IF(I26&lt;&gt;"",I26,999),IF(K26&lt;&gt;"",K26,999),IF(N26&lt;&gt;"",N26,999)),"")</f>
        <v>999</v>
      </c>
      <c r="P26" s="6" t="str">
        <f aca="false">IF(AND(E26&lt;&gt;"",O26&lt;&gt;"",O26&gt;0,O26&lt;999),(E26-O26)/O26,"")</f>
        <v/>
      </c>
      <c r="Q26" s="6" t="str">
        <f aca="false">IF(AND(E26&lt;&gt;"",O26&lt;&gt;"",O26&lt;999),MAX(0,E26-O26)*0,"Vincular vol.")</f>
        <v>Vincular vol.</v>
      </c>
      <c r="R26" s="9"/>
    </row>
    <row r="27" customFormat="false" ht="15" hidden="false" customHeight="true" outlineLevel="0" collapsed="false">
      <c r="A27" s="15" t="n">
        <v>24</v>
      </c>
      <c r="B27" s="9"/>
      <c r="C27" s="9"/>
      <c r="D27" s="9"/>
      <c r="E27" s="9"/>
      <c r="F27" s="9"/>
      <c r="G27" s="9"/>
      <c r="H27" s="9"/>
      <c r="I27" s="6" t="str">
        <f aca="false">IF(COUNTA(F27:H27)&gt;0,AVERAGE(F27:H27),"")</f>
        <v/>
      </c>
      <c r="J27" s="9"/>
      <c r="K27" s="6" t="str">
        <f aca="false">IF(J27&lt;&gt;"",J27*1.15,"")</f>
        <v/>
      </c>
      <c r="L27" s="9"/>
      <c r="M27" s="6" t="str">
        <f aca="false">IF(AND(L27&lt;&gt;""),"Calcular manual","")</f>
        <v/>
      </c>
      <c r="N27" s="9"/>
      <c r="O27" s="6" t="n">
        <f aca="false">IF(COUNTA(I27,K27,N27)&gt;0,MIN(IF(I27&lt;&gt;"",I27,999),IF(K27&lt;&gt;"",K27,999),IF(N27&lt;&gt;"",N27,999)),"")</f>
        <v>999</v>
      </c>
      <c r="P27" s="6" t="str">
        <f aca="false">IF(AND(E27&lt;&gt;"",O27&lt;&gt;"",O27&gt;0,O27&lt;999),(E27-O27)/O27,"")</f>
        <v/>
      </c>
      <c r="Q27" s="6" t="str">
        <f aca="false">IF(AND(E27&lt;&gt;"",O27&lt;&gt;"",O27&lt;999),MAX(0,E27-O27)*0,"Vincular vol.")</f>
        <v>Vincular vol.</v>
      </c>
      <c r="R27" s="9"/>
    </row>
    <row r="28" customFormat="false" ht="15" hidden="false" customHeight="true" outlineLevel="0" collapsed="false">
      <c r="A28" s="15" t="n">
        <v>25</v>
      </c>
      <c r="B28" s="9"/>
      <c r="C28" s="9"/>
      <c r="D28" s="9"/>
      <c r="E28" s="9"/>
      <c r="F28" s="9"/>
      <c r="G28" s="9"/>
      <c r="H28" s="9"/>
      <c r="I28" s="6" t="str">
        <f aca="false">IF(COUNTA(F28:H28)&gt;0,AVERAGE(F28:H28),"")</f>
        <v/>
      </c>
      <c r="J28" s="9"/>
      <c r="K28" s="6" t="str">
        <f aca="false">IF(J28&lt;&gt;"",J28*1.15,"")</f>
        <v/>
      </c>
      <c r="L28" s="9"/>
      <c r="M28" s="6" t="str">
        <f aca="false">IF(AND(L28&lt;&gt;""),"Calcular manual","")</f>
        <v/>
      </c>
      <c r="N28" s="9"/>
      <c r="O28" s="6" t="n">
        <f aca="false">IF(COUNTA(I28,K28,N28)&gt;0,MIN(IF(I28&lt;&gt;"",I28,999),IF(K28&lt;&gt;"",K28,999),IF(N28&lt;&gt;"",N28,999)),"")</f>
        <v>999</v>
      </c>
      <c r="P28" s="6" t="str">
        <f aca="false">IF(AND(E28&lt;&gt;"",O28&lt;&gt;"",O28&gt;0,O28&lt;999),(E28-O28)/O28,"")</f>
        <v/>
      </c>
      <c r="Q28" s="6" t="str">
        <f aca="false">IF(AND(E28&lt;&gt;"",O28&lt;&gt;"",O28&lt;999),MAX(0,E28-O28)*0,"Vincular vol.")</f>
        <v>Vincular vol.</v>
      </c>
      <c r="R28" s="9"/>
    </row>
    <row r="29" customFormat="false" ht="15" hidden="false" customHeight="true" outlineLevel="0" collapsed="false">
      <c r="A29" s="15" t="n">
        <v>26</v>
      </c>
      <c r="B29" s="9"/>
      <c r="C29" s="9"/>
      <c r="D29" s="9"/>
      <c r="E29" s="9"/>
      <c r="F29" s="9"/>
      <c r="G29" s="9"/>
      <c r="H29" s="9"/>
      <c r="I29" s="6" t="str">
        <f aca="false">IF(COUNTA(F29:H29)&gt;0,AVERAGE(F29:H29),"")</f>
        <v/>
      </c>
      <c r="J29" s="9"/>
      <c r="K29" s="6" t="str">
        <f aca="false">IF(J29&lt;&gt;"",J29*1.15,"")</f>
        <v/>
      </c>
      <c r="L29" s="9"/>
      <c r="M29" s="6" t="str">
        <f aca="false">IF(AND(L29&lt;&gt;""),"Calcular manual","")</f>
        <v/>
      </c>
      <c r="N29" s="9"/>
      <c r="O29" s="6" t="n">
        <f aca="false">IF(COUNTA(I29,K29,N29)&gt;0,MIN(IF(I29&lt;&gt;"",I29,999),IF(K29&lt;&gt;"",K29,999),IF(N29&lt;&gt;"",N29,999)),"")</f>
        <v>999</v>
      </c>
      <c r="P29" s="6" t="str">
        <f aca="false">IF(AND(E29&lt;&gt;"",O29&lt;&gt;"",O29&gt;0,O29&lt;999),(E29-O29)/O29,"")</f>
        <v/>
      </c>
      <c r="Q29" s="6" t="str">
        <f aca="false">IF(AND(E29&lt;&gt;"",O29&lt;&gt;"",O29&lt;999),MAX(0,E29-O29)*0,"Vincular vol.")</f>
        <v>Vincular vol.</v>
      </c>
      <c r="R29" s="9"/>
    </row>
    <row r="30" customFormat="false" ht="15" hidden="false" customHeight="true" outlineLevel="0" collapsed="false">
      <c r="A30" s="15" t="n">
        <v>27</v>
      </c>
      <c r="B30" s="9"/>
      <c r="C30" s="9"/>
      <c r="D30" s="9"/>
      <c r="E30" s="9"/>
      <c r="F30" s="9"/>
      <c r="G30" s="9"/>
      <c r="H30" s="9"/>
      <c r="I30" s="6" t="str">
        <f aca="false">IF(COUNTA(F30:H30)&gt;0,AVERAGE(F30:H30),"")</f>
        <v/>
      </c>
      <c r="J30" s="9"/>
      <c r="K30" s="6" t="str">
        <f aca="false">IF(J30&lt;&gt;"",J30*1.15,"")</f>
        <v/>
      </c>
      <c r="L30" s="9"/>
      <c r="M30" s="6" t="str">
        <f aca="false">IF(AND(L30&lt;&gt;""),"Calcular manual","")</f>
        <v/>
      </c>
      <c r="N30" s="9"/>
      <c r="O30" s="6" t="n">
        <f aca="false">IF(COUNTA(I30,K30,N30)&gt;0,MIN(IF(I30&lt;&gt;"",I30,999),IF(K30&lt;&gt;"",K30,999),IF(N30&lt;&gt;"",N30,999)),"")</f>
        <v>999</v>
      </c>
      <c r="P30" s="6" t="str">
        <f aca="false">IF(AND(E30&lt;&gt;"",O30&lt;&gt;"",O30&gt;0,O30&lt;999),(E30-O30)/O30,"")</f>
        <v/>
      </c>
      <c r="Q30" s="6" t="str">
        <f aca="false">IF(AND(E30&lt;&gt;"",O30&lt;&gt;"",O30&lt;999),MAX(0,E30-O30)*0,"Vincular vol.")</f>
        <v>Vincular vol.</v>
      </c>
      <c r="R30" s="9"/>
    </row>
    <row r="31" customFormat="false" ht="15" hidden="false" customHeight="true" outlineLevel="0" collapsed="false">
      <c r="A31" s="15" t="n">
        <v>28</v>
      </c>
      <c r="B31" s="9"/>
      <c r="C31" s="9"/>
      <c r="D31" s="9"/>
      <c r="E31" s="9"/>
      <c r="F31" s="9"/>
      <c r="G31" s="9"/>
      <c r="H31" s="9"/>
      <c r="I31" s="6" t="str">
        <f aca="false">IF(COUNTA(F31:H31)&gt;0,AVERAGE(F31:H31),"")</f>
        <v/>
      </c>
      <c r="J31" s="9"/>
      <c r="K31" s="6" t="str">
        <f aca="false">IF(J31&lt;&gt;"",J31*1.15,"")</f>
        <v/>
      </c>
      <c r="L31" s="9"/>
      <c r="M31" s="6" t="str">
        <f aca="false">IF(AND(L31&lt;&gt;""),"Calcular manual","")</f>
        <v/>
      </c>
      <c r="N31" s="9"/>
      <c r="O31" s="6" t="n">
        <f aca="false">IF(COUNTA(I31,K31,N31)&gt;0,MIN(IF(I31&lt;&gt;"",I31,999),IF(K31&lt;&gt;"",K31,999),IF(N31&lt;&gt;"",N31,999)),"")</f>
        <v>999</v>
      </c>
      <c r="P31" s="6" t="str">
        <f aca="false">IF(AND(E31&lt;&gt;"",O31&lt;&gt;"",O31&gt;0,O31&lt;999),(E31-O31)/O31,"")</f>
        <v/>
      </c>
      <c r="Q31" s="6" t="str">
        <f aca="false">IF(AND(E31&lt;&gt;"",O31&lt;&gt;"",O31&lt;999),MAX(0,E31-O31)*0,"Vincular vol.")</f>
        <v>Vincular vol.</v>
      </c>
      <c r="R31" s="9"/>
    </row>
    <row r="32" customFormat="false" ht="15" hidden="false" customHeight="true" outlineLevel="0" collapsed="false">
      <c r="A32" s="15" t="n">
        <v>29</v>
      </c>
      <c r="B32" s="9"/>
      <c r="C32" s="9"/>
      <c r="D32" s="9"/>
      <c r="E32" s="9"/>
      <c r="F32" s="9"/>
      <c r="G32" s="9"/>
      <c r="H32" s="9"/>
      <c r="I32" s="6" t="str">
        <f aca="false">IF(COUNTA(F32:H32)&gt;0,AVERAGE(F32:H32),"")</f>
        <v/>
      </c>
      <c r="J32" s="9"/>
      <c r="K32" s="6" t="str">
        <f aca="false">IF(J32&lt;&gt;"",J32*1.15,"")</f>
        <v/>
      </c>
      <c r="L32" s="9"/>
      <c r="M32" s="6" t="str">
        <f aca="false">IF(AND(L32&lt;&gt;""),"Calcular manual","")</f>
        <v/>
      </c>
      <c r="N32" s="9"/>
      <c r="O32" s="6" t="n">
        <f aca="false">IF(COUNTA(I32,K32,N32)&gt;0,MIN(IF(I32&lt;&gt;"",I32,999),IF(K32&lt;&gt;"",K32,999),IF(N32&lt;&gt;"",N32,999)),"")</f>
        <v>999</v>
      </c>
      <c r="P32" s="6" t="str">
        <f aca="false">IF(AND(E32&lt;&gt;"",O32&lt;&gt;"",O32&gt;0,O32&lt;999),(E32-O32)/O32,"")</f>
        <v/>
      </c>
      <c r="Q32" s="6" t="str">
        <f aca="false">IF(AND(E32&lt;&gt;"",O32&lt;&gt;"",O32&lt;999),MAX(0,E32-O32)*0,"Vincular vol.")</f>
        <v>Vincular vol.</v>
      </c>
      <c r="R32" s="9"/>
    </row>
    <row r="33" customFormat="false" ht="15" hidden="false" customHeight="true" outlineLevel="0" collapsed="false">
      <c r="A33" s="15" t="n">
        <v>30</v>
      </c>
      <c r="B33" s="9"/>
      <c r="C33" s="9"/>
      <c r="D33" s="9"/>
      <c r="E33" s="9"/>
      <c r="F33" s="9"/>
      <c r="G33" s="9"/>
      <c r="H33" s="9"/>
      <c r="I33" s="6" t="str">
        <f aca="false">IF(COUNTA(F33:H33)&gt;0,AVERAGE(F33:H33),"")</f>
        <v/>
      </c>
      <c r="J33" s="9"/>
      <c r="K33" s="6" t="str">
        <f aca="false">IF(J33&lt;&gt;"",J33*1.15,"")</f>
        <v/>
      </c>
      <c r="L33" s="9"/>
      <c r="M33" s="6" t="str">
        <f aca="false">IF(AND(L33&lt;&gt;""),"Calcular manual","")</f>
        <v/>
      </c>
      <c r="N33" s="9"/>
      <c r="O33" s="6" t="n">
        <f aca="false">IF(COUNTA(I33,K33,N33)&gt;0,MIN(IF(I33&lt;&gt;"",I33,999),IF(K33&lt;&gt;"",K33,999),IF(N33&lt;&gt;"",N33,999)),"")</f>
        <v>999</v>
      </c>
      <c r="P33" s="6" t="str">
        <f aca="false">IF(AND(E33&lt;&gt;"",O33&lt;&gt;"",O33&gt;0,O33&lt;999),(E33-O33)/O33,"")</f>
        <v/>
      </c>
      <c r="Q33" s="6" t="str">
        <f aca="false">IF(AND(E33&lt;&gt;"",O33&lt;&gt;"",O33&lt;999),MAX(0,E33-O33)*0,"Vincular vol.")</f>
        <v>Vincular vol.</v>
      </c>
      <c r="R33" s="9"/>
    </row>
    <row r="35" customFormat="false" ht="450" hidden="false" customHeight="true" outlineLevel="0" collapsed="false">
      <c r="A35" s="19" t="s">
        <v>165</v>
      </c>
    </row>
    <row r="36" customFormat="false" ht="387" hidden="false" customHeight="true" outlineLevel="0" collapsed="false">
      <c r="A36" s="19" t="s">
        <v>166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A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26" min="3" style="1" width="8"/>
    <col collapsed="false" customWidth="true" hidden="false" outlineLevel="0" max="27" min="27" style="1" width="14"/>
    <col collapsed="false" customWidth="true" hidden="false" outlineLevel="0" max="28" min="28" style="1" width="10"/>
  </cols>
  <sheetData>
    <row r="1" customFormat="false" ht="17.25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true" outlineLevel="0" collapsed="false">
      <c r="A2" s="3" t="s">
        <v>168</v>
      </c>
    </row>
    <row r="3" customFormat="false" ht="34.5" hidden="false" customHeight="true" outlineLevel="0" collapsed="false">
      <c r="A3" s="4" t="s">
        <v>112</v>
      </c>
      <c r="B3" s="4" t="s">
        <v>96</v>
      </c>
      <c r="C3" s="4" t="s">
        <v>169</v>
      </c>
      <c r="D3" s="4" t="s">
        <v>170</v>
      </c>
      <c r="E3" s="4" t="s">
        <v>171</v>
      </c>
      <c r="F3" s="4" t="s">
        <v>172</v>
      </c>
      <c r="G3" s="4" t="s">
        <v>173</v>
      </c>
      <c r="H3" s="4" t="s">
        <v>174</v>
      </c>
      <c r="I3" s="4" t="s">
        <v>175</v>
      </c>
      <c r="J3" s="4" t="s">
        <v>176</v>
      </c>
      <c r="K3" s="4" t="s">
        <v>177</v>
      </c>
      <c r="L3" s="4" t="s">
        <v>178</v>
      </c>
      <c r="M3" s="4" t="s">
        <v>179</v>
      </c>
      <c r="N3" s="4" t="s">
        <v>180</v>
      </c>
      <c r="O3" s="4" t="s">
        <v>181</v>
      </c>
      <c r="P3" s="4" t="s">
        <v>182</v>
      </c>
      <c r="Q3" s="4" t="s">
        <v>183</v>
      </c>
      <c r="R3" s="4" t="s">
        <v>184</v>
      </c>
      <c r="S3" s="4" t="s">
        <v>185</v>
      </c>
      <c r="T3" s="4" t="s">
        <v>186</v>
      </c>
      <c r="U3" s="4" t="s">
        <v>187</v>
      </c>
      <c r="V3" s="4" t="s">
        <v>188</v>
      </c>
      <c r="W3" s="4" t="s">
        <v>189</v>
      </c>
      <c r="X3" s="4" t="s">
        <v>190</v>
      </c>
      <c r="Y3" s="4" t="s">
        <v>191</v>
      </c>
      <c r="Z3" s="4" t="s">
        <v>192</v>
      </c>
      <c r="AA3" s="4" t="s">
        <v>193</v>
      </c>
      <c r="AB3" s="4" t="s">
        <v>194</v>
      </c>
    </row>
    <row r="4" customFormat="false" ht="1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6" t="str">
        <f aca="false">IF(COUNTA(O4:Z4)&gt;0,AVERAGE(O4:Z4),"")</f>
        <v/>
      </c>
      <c r="AB4" s="6" t="str">
        <f aca="false">IF(AND(C4&lt;&gt;"",Z4&lt;&gt;""),(Z4-C4)/C4,"")</f>
        <v/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6" t="str">
        <f aca="false">IF(COUNTA(O5:Z5)&gt;0,AVERAGE(O5:Z5),"")</f>
        <v/>
      </c>
      <c r="AB5" s="6" t="str">
        <f aca="false">IF(AND(C5&lt;&gt;"",Z5&lt;&gt;""),(Z5-C5)/C5,"")</f>
        <v/>
      </c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6" t="str">
        <f aca="false">IF(COUNTA(O6:Z6)&gt;0,AVERAGE(O6:Z6),"")</f>
        <v/>
      </c>
      <c r="AB6" s="6" t="str">
        <f aca="false">IF(AND(C6&lt;&gt;"",Z6&lt;&gt;""),(Z6-C6)/C6,"")</f>
        <v/>
      </c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6" t="str">
        <f aca="false">IF(COUNTA(O7:Z7)&gt;0,AVERAGE(O7:Z7),"")</f>
        <v/>
      </c>
      <c r="AB7" s="6" t="str">
        <f aca="false">IF(AND(C7&lt;&gt;"",Z7&lt;&gt;""),(Z7-C7)/C7,"")</f>
        <v/>
      </c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6" t="str">
        <f aca="false">IF(COUNTA(O8:Z8)&gt;0,AVERAGE(O8:Z8),"")</f>
        <v/>
      </c>
      <c r="AB8" s="6" t="str">
        <f aca="false">IF(AND(C8&lt;&gt;"",Z8&lt;&gt;""),(Z8-C8)/C8,"")</f>
        <v/>
      </c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6" t="str">
        <f aca="false">IF(COUNTA(O9:Z9)&gt;0,AVERAGE(O9:Z9),"")</f>
        <v/>
      </c>
      <c r="AB9" s="6" t="str">
        <f aca="false">IF(AND(C9&lt;&gt;"",Z9&lt;&gt;""),(Z9-C9)/C9,"")</f>
        <v/>
      </c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6" t="str">
        <f aca="false">IF(COUNTA(O10:Z10)&gt;0,AVERAGE(O10:Z10),"")</f>
        <v/>
      </c>
      <c r="AB10" s="6" t="str">
        <f aca="false">IF(AND(C10&lt;&gt;"",Z10&lt;&gt;""),(Z10-C10)/C10,"")</f>
        <v/>
      </c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6" t="str">
        <f aca="false">IF(COUNTA(O11:Z11)&gt;0,AVERAGE(O11:Z11),"")</f>
        <v/>
      </c>
      <c r="AB11" s="6" t="str">
        <f aca="false">IF(AND(C11&lt;&gt;"",Z11&lt;&gt;""),(Z11-C11)/C11,"")</f>
        <v/>
      </c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6" t="str">
        <f aca="false">IF(COUNTA(O12:Z12)&gt;0,AVERAGE(O12:Z12),"")</f>
        <v/>
      </c>
      <c r="AB12" s="6" t="str">
        <f aca="false">IF(AND(C12&lt;&gt;"",Z12&lt;&gt;""),(Z12-C12)/C12,"")</f>
        <v/>
      </c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6" t="str">
        <f aca="false">IF(COUNTA(O13:Z13)&gt;0,AVERAGE(O13:Z13),"")</f>
        <v/>
      </c>
      <c r="AB13" s="6" t="str">
        <f aca="false">IF(AND(C13&lt;&gt;"",Z13&lt;&gt;""),(Z13-C13)/C13,"")</f>
        <v/>
      </c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6" t="str">
        <f aca="false">IF(COUNTA(O14:Z14)&gt;0,AVERAGE(O14:Z14),"")</f>
        <v/>
      </c>
      <c r="AB14" s="6" t="str">
        <f aca="false">IF(AND(C14&lt;&gt;"",Z14&lt;&gt;""),(Z14-C14)/C14,"")</f>
        <v/>
      </c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6" t="str">
        <f aca="false">IF(COUNTA(O15:Z15)&gt;0,AVERAGE(O15:Z15),"")</f>
        <v/>
      </c>
      <c r="AB15" s="6" t="str">
        <f aca="false">IF(AND(C15&lt;&gt;"",Z15&lt;&gt;""),(Z15-C15)/C15,"")</f>
        <v/>
      </c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6" t="str">
        <f aca="false">IF(COUNTA(O16:Z16)&gt;0,AVERAGE(O16:Z16),"")</f>
        <v/>
      </c>
      <c r="AB16" s="6" t="str">
        <f aca="false">IF(AND(C16&lt;&gt;"",Z16&lt;&gt;""),(Z16-C16)/C16,"")</f>
        <v/>
      </c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6" t="str">
        <f aca="false">IF(COUNTA(O17:Z17)&gt;0,AVERAGE(O17:Z17),"")</f>
        <v/>
      </c>
      <c r="AB17" s="6" t="str">
        <f aca="false">IF(AND(C17&lt;&gt;"",Z17&lt;&gt;""),(Z17-C17)/C17,"")</f>
        <v/>
      </c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6" t="str">
        <f aca="false">IF(COUNTA(O18:Z18)&gt;0,AVERAGE(O18:Z18),"")</f>
        <v/>
      </c>
      <c r="AB18" s="6" t="str">
        <f aca="false">IF(AND(C18&lt;&gt;"",Z18&lt;&gt;""),(Z18-C18)/C18,"")</f>
        <v/>
      </c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6" t="str">
        <f aca="false">IF(COUNTA(O19:Z19)&gt;0,AVERAGE(O19:Z19),"")</f>
        <v/>
      </c>
      <c r="AB19" s="6" t="str">
        <f aca="false">IF(AND(C19&lt;&gt;"",Z19&lt;&gt;""),(Z19-C19)/C19,"")</f>
        <v/>
      </c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6" t="str">
        <f aca="false">IF(COUNTA(O20:Z20)&gt;0,AVERAGE(O20:Z20),"")</f>
        <v/>
      </c>
      <c r="AB20" s="6" t="str">
        <f aca="false">IF(AND(C20&lt;&gt;"",Z20&lt;&gt;""),(Z20-C20)/C20,"")</f>
        <v/>
      </c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6" t="str">
        <f aca="false">IF(COUNTA(O21:Z21)&gt;0,AVERAGE(O21:Z21),"")</f>
        <v/>
      </c>
      <c r="AB21" s="6" t="str">
        <f aca="false">IF(AND(C21&lt;&gt;"",Z21&lt;&gt;""),(Z21-C21)/C21,"")</f>
        <v/>
      </c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6" t="str">
        <f aca="false">IF(COUNTA(O22:Z22)&gt;0,AVERAGE(O22:Z22),"")</f>
        <v/>
      </c>
      <c r="AB22" s="6" t="str">
        <f aca="false">IF(AND(C22&lt;&gt;"",Z22&lt;&gt;""),(Z22-C22)/C22,"")</f>
        <v/>
      </c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6" t="str">
        <f aca="false">IF(COUNTA(O23:Z23)&gt;0,AVERAGE(O23:Z23),"")</f>
        <v/>
      </c>
      <c r="AB23" s="6" t="str">
        <f aca="false">IF(AND(C23&lt;&gt;"",Z23&lt;&gt;""),(Z23-C23)/C23,"")</f>
        <v/>
      </c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6" t="str">
        <f aca="false">IF(COUNTA(O24:Z24)&gt;0,AVERAGE(O24:Z24),"")</f>
        <v/>
      </c>
      <c r="AB24" s="6" t="str">
        <f aca="false">IF(AND(C24&lt;&gt;"",Z24&lt;&gt;""),(Z24-C24)/C24,"")</f>
        <v/>
      </c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6" t="str">
        <f aca="false">IF(COUNTA(O25:Z25)&gt;0,AVERAGE(O25:Z25),"")</f>
        <v/>
      </c>
      <c r="AB25" s="6" t="str">
        <f aca="false">IF(AND(C25&lt;&gt;"",Z25&lt;&gt;""),(Z25-C25)/C25,"")</f>
        <v/>
      </c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6" t="str">
        <f aca="false">IF(COUNTA(O26:Z26)&gt;0,AVERAGE(O26:Z26),"")</f>
        <v/>
      </c>
      <c r="AB26" s="6" t="str">
        <f aca="false">IF(AND(C26&lt;&gt;"",Z26&lt;&gt;""),(Z26-C26)/C26,"")</f>
        <v/>
      </c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6" t="str">
        <f aca="false">IF(COUNTA(O27:Z27)&gt;0,AVERAGE(O27:Z27),"")</f>
        <v/>
      </c>
      <c r="AB27" s="6" t="str">
        <f aca="false">IF(AND(C27&lt;&gt;"",Z27&lt;&gt;""),(Z27-C27)/C27,"")</f>
        <v/>
      </c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6" t="str">
        <f aca="false">IF(COUNTA(O28:Z28)&gt;0,AVERAGE(O28:Z28),"")</f>
        <v/>
      </c>
      <c r="AB28" s="6" t="str">
        <f aca="false">IF(AND(C28&lt;&gt;"",Z28&lt;&gt;""),(Z28-C28)/C28,"")</f>
        <v/>
      </c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6" t="str">
        <f aca="false">IF(COUNTA(O29:Z29)&gt;0,AVERAGE(O29:Z29),"")</f>
        <v/>
      </c>
      <c r="AB29" s="6" t="str">
        <f aca="false">IF(AND(C29&lt;&gt;"",Z29&lt;&gt;""),(Z29-C29)/C29,"")</f>
        <v/>
      </c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6" t="str">
        <f aca="false">IF(COUNTA(O30:Z30)&gt;0,AVERAGE(O30:Z30),"")</f>
        <v/>
      </c>
      <c r="AB30" s="6" t="str">
        <f aca="false">IF(AND(C30&lt;&gt;"",Z30&lt;&gt;""),(Z30-C30)/C30,"")</f>
        <v/>
      </c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6" t="str">
        <f aca="false">IF(COUNTA(O31:Z31)&gt;0,AVERAGE(O31:Z31),"")</f>
        <v/>
      </c>
      <c r="AB31" s="6" t="str">
        <f aca="false">IF(AND(C31&lt;&gt;"",Z31&lt;&gt;""),(Z31-C31)/C31,"")</f>
        <v/>
      </c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6" t="str">
        <f aca="false">IF(COUNTA(O32:Z32)&gt;0,AVERAGE(O32:Z32),"")</f>
        <v/>
      </c>
      <c r="AB32" s="6" t="str">
        <f aca="false">IF(AND(C32&lt;&gt;"",Z32&lt;&gt;""),(Z32-C32)/C32,"")</f>
        <v/>
      </c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6" t="str">
        <f aca="false">IF(COUNTA(O33:Z33)&gt;0,AVERAGE(O33:Z33),"")</f>
        <v/>
      </c>
      <c r="AB33" s="6" t="str">
        <f aca="false">IF(AND(C33&lt;&gt;"",Z33&lt;&gt;""),(Z33-C33)/C33,"")</f>
        <v/>
      </c>
    </row>
  </sheetData>
  <mergeCells count="1">
    <mergeCell ref="A1:A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195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196</v>
      </c>
    </row>
    <row r="3" customFormat="false" ht="15" hidden="false" customHeight="true" outlineLevel="0" collapsed="false">
      <c r="A3" s="24" t="s">
        <v>197</v>
      </c>
      <c r="B3" s="9"/>
      <c r="C3" s="9"/>
    </row>
    <row r="4" customFormat="false" ht="15" hidden="false" customHeight="true" outlineLevel="0" collapsed="false">
      <c r="A4" s="24" t="s">
        <v>198</v>
      </c>
      <c r="B4" s="9"/>
      <c r="C4" s="9"/>
    </row>
    <row r="5" customFormat="false" ht="15" hidden="false" customHeight="true" outlineLevel="0" collapsed="false">
      <c r="A5" s="24" t="s">
        <v>199</v>
      </c>
      <c r="B5" s="9"/>
      <c r="C5" s="9"/>
    </row>
    <row r="6" customFormat="false" ht="15" hidden="false" customHeight="true" outlineLevel="0" collapsed="false">
      <c r="A6" s="24" t="s">
        <v>200</v>
      </c>
      <c r="B6" s="9"/>
      <c r="C6" s="9"/>
    </row>
    <row r="7" customFormat="false" ht="15" hidden="false" customHeight="true" outlineLevel="0" collapsed="false">
      <c r="A7" s="24" t="s">
        <v>201</v>
      </c>
      <c r="B7" s="9"/>
      <c r="C7" s="9"/>
    </row>
    <row r="9" customFormat="false" ht="34.5" hidden="false" customHeight="true" outlineLevel="0" collapsed="false">
      <c r="A9" s="4" t="s">
        <v>202</v>
      </c>
      <c r="B9" s="4" t="s">
        <v>203</v>
      </c>
      <c r="C9" s="4" t="s">
        <v>204</v>
      </c>
      <c r="D9" s="4" t="s">
        <v>205</v>
      </c>
      <c r="E9" s="4" t="s">
        <v>206</v>
      </c>
      <c r="F9" s="4" t="s">
        <v>207</v>
      </c>
    </row>
    <row r="10" customFormat="false" ht="15" hidden="false" customHeight="true" outlineLevel="0" collapsed="false">
      <c r="A10" s="25" t="s">
        <v>208</v>
      </c>
      <c r="B10" s="25"/>
      <c r="C10" s="25"/>
      <c r="D10" s="25"/>
      <c r="E10" s="25"/>
      <c r="F10" s="25"/>
    </row>
    <row r="11" customFormat="false" ht="15" hidden="false" customHeight="true" outlineLevel="0" collapsed="false">
      <c r="A11" s="8" t="s">
        <v>209</v>
      </c>
      <c r="B11" s="9"/>
      <c r="C11" s="9"/>
      <c r="D11" s="9"/>
      <c r="E11" s="9"/>
      <c r="F11" s="9"/>
    </row>
    <row r="12" customFormat="false" ht="15" hidden="false" customHeight="true" outlineLevel="0" collapsed="false">
      <c r="A12" s="8" t="s">
        <v>210</v>
      </c>
      <c r="B12" s="9"/>
      <c r="C12" s="9"/>
      <c r="D12" s="9"/>
      <c r="E12" s="9"/>
      <c r="F12" s="9"/>
    </row>
    <row r="13" customFormat="false" ht="15" hidden="false" customHeight="true" outlineLevel="0" collapsed="false">
      <c r="A13" s="8" t="s">
        <v>211</v>
      </c>
      <c r="B13" s="9"/>
      <c r="C13" s="9"/>
      <c r="D13" s="9"/>
      <c r="E13" s="9"/>
      <c r="F13" s="9"/>
    </row>
    <row r="14" customFormat="false" ht="15" hidden="false" customHeight="true" outlineLevel="0" collapsed="false">
      <c r="A14" s="8" t="s">
        <v>212</v>
      </c>
      <c r="B14" s="9"/>
      <c r="C14" s="9"/>
      <c r="D14" s="9"/>
      <c r="E14" s="9"/>
      <c r="F14" s="9"/>
    </row>
    <row r="15" customFormat="false" ht="15" hidden="false" customHeight="true" outlineLevel="0" collapsed="false">
      <c r="A15" s="8" t="s">
        <v>213</v>
      </c>
      <c r="B15" s="9"/>
      <c r="C15" s="9"/>
      <c r="D15" s="9"/>
      <c r="E15" s="9"/>
      <c r="F15" s="9"/>
    </row>
    <row r="16" customFormat="false" ht="15" hidden="false" customHeight="true" outlineLevel="0" collapsed="false">
      <c r="A16" s="25" t="s">
        <v>214</v>
      </c>
      <c r="B16" s="25"/>
      <c r="C16" s="25"/>
      <c r="D16" s="25"/>
      <c r="E16" s="25"/>
      <c r="F16" s="25"/>
    </row>
    <row r="17" customFormat="false" ht="15" hidden="false" customHeight="true" outlineLevel="0" collapsed="false">
      <c r="A17" s="8" t="s">
        <v>215</v>
      </c>
      <c r="B17" s="9"/>
      <c r="C17" s="9"/>
      <c r="D17" s="9"/>
      <c r="E17" s="9"/>
      <c r="F17" s="9"/>
    </row>
    <row r="18" customFormat="false" ht="15" hidden="false" customHeight="true" outlineLevel="0" collapsed="false">
      <c r="A18" s="8" t="s">
        <v>216</v>
      </c>
      <c r="B18" s="9"/>
      <c r="C18" s="9"/>
      <c r="D18" s="9"/>
      <c r="E18" s="9"/>
      <c r="F18" s="9"/>
    </row>
    <row r="19" customFormat="false" ht="15" hidden="false" customHeight="true" outlineLevel="0" collapsed="false">
      <c r="A19" s="8" t="s">
        <v>217</v>
      </c>
      <c r="B19" s="9"/>
      <c r="C19" s="9"/>
      <c r="D19" s="9"/>
      <c r="E19" s="9"/>
      <c r="F19" s="9"/>
    </row>
    <row r="20" customFormat="false" ht="15" hidden="false" customHeight="true" outlineLevel="0" collapsed="false">
      <c r="A20" s="8" t="s">
        <v>218</v>
      </c>
      <c r="B20" s="9"/>
      <c r="C20" s="9"/>
      <c r="D20" s="9"/>
      <c r="E20" s="9"/>
      <c r="F20" s="9"/>
    </row>
    <row r="21" customFormat="false" ht="15" hidden="false" customHeight="true" outlineLevel="0" collapsed="false">
      <c r="A21" s="8" t="s">
        <v>219</v>
      </c>
      <c r="B21" s="9"/>
      <c r="C21" s="9"/>
      <c r="D21" s="9"/>
      <c r="E21" s="9"/>
      <c r="F21" s="9"/>
    </row>
    <row r="22" customFormat="false" ht="15" hidden="false" customHeight="true" outlineLevel="0" collapsed="false">
      <c r="A22" s="8" t="s">
        <v>220</v>
      </c>
      <c r="B22" s="9"/>
      <c r="C22" s="9"/>
      <c r="D22" s="9"/>
      <c r="E22" s="9"/>
      <c r="F22" s="9"/>
    </row>
    <row r="23" customFormat="false" ht="15" hidden="false" customHeight="true" outlineLevel="0" collapsed="false">
      <c r="A23" s="8" t="s">
        <v>221</v>
      </c>
      <c r="B23" s="9"/>
      <c r="C23" s="9"/>
      <c r="D23" s="9"/>
      <c r="E23" s="9"/>
      <c r="F23" s="9"/>
    </row>
    <row r="24" customFormat="false" ht="15" hidden="false" customHeight="true" outlineLevel="0" collapsed="false">
      <c r="A24" s="8" t="s">
        <v>222</v>
      </c>
      <c r="B24" s="9"/>
      <c r="C24" s="9"/>
      <c r="D24" s="9"/>
      <c r="E24" s="9"/>
      <c r="F24" s="9"/>
    </row>
    <row r="25" customFormat="false" ht="15" hidden="false" customHeight="true" outlineLevel="0" collapsed="false">
      <c r="A25" s="8" t="s">
        <v>223</v>
      </c>
      <c r="B25" s="9"/>
      <c r="C25" s="9"/>
      <c r="D25" s="9"/>
      <c r="E25" s="9"/>
      <c r="F25" s="9"/>
    </row>
    <row r="26" customFormat="false" ht="15" hidden="false" customHeight="true" outlineLevel="0" collapsed="false">
      <c r="A26" s="25" t="s">
        <v>224</v>
      </c>
      <c r="B26" s="25"/>
      <c r="C26" s="25"/>
      <c r="D26" s="25"/>
      <c r="E26" s="25"/>
      <c r="F26" s="25"/>
    </row>
    <row r="27" customFormat="false" ht="15" hidden="false" customHeight="true" outlineLevel="0" collapsed="false">
      <c r="A27" s="8" t="s">
        <v>225</v>
      </c>
      <c r="B27" s="9"/>
      <c r="C27" s="9"/>
      <c r="D27" s="9"/>
      <c r="E27" s="9"/>
      <c r="F27" s="9"/>
    </row>
    <row r="28" customFormat="false" ht="15" hidden="false" customHeight="true" outlineLevel="0" collapsed="false">
      <c r="A28" s="8" t="s">
        <v>226</v>
      </c>
      <c r="B28" s="9"/>
      <c r="C28" s="9"/>
      <c r="D28" s="9"/>
      <c r="E28" s="9"/>
      <c r="F28" s="9"/>
    </row>
    <row r="29" customFormat="false" ht="15" hidden="false" customHeight="true" outlineLevel="0" collapsed="false">
      <c r="A29" s="8" t="s">
        <v>227</v>
      </c>
      <c r="B29" s="9"/>
      <c r="C29" s="9"/>
      <c r="D29" s="9"/>
      <c r="E29" s="9"/>
      <c r="F29" s="9"/>
    </row>
    <row r="30" customFormat="false" ht="15" hidden="false" customHeight="true" outlineLevel="0" collapsed="false">
      <c r="A30" s="8" t="s">
        <v>228</v>
      </c>
      <c r="B30" s="9"/>
      <c r="C30" s="9"/>
      <c r="D30" s="9"/>
      <c r="E30" s="9"/>
      <c r="F30" s="9"/>
    </row>
    <row r="31" customFormat="false" ht="15" hidden="false" customHeight="true" outlineLevel="0" collapsed="false">
      <c r="A31" s="8" t="s">
        <v>229</v>
      </c>
      <c r="B31" s="9"/>
      <c r="C31" s="9"/>
      <c r="D31" s="9"/>
      <c r="E31" s="9"/>
      <c r="F31" s="9"/>
    </row>
    <row r="32" customFormat="false" ht="15" hidden="false" customHeight="true" outlineLevel="0" collapsed="false">
      <c r="A32" s="8" t="s">
        <v>230</v>
      </c>
      <c r="B32" s="9"/>
      <c r="C32" s="9"/>
      <c r="D32" s="9"/>
      <c r="E32" s="9"/>
      <c r="F32" s="9"/>
    </row>
    <row r="33" customFormat="false" ht="15" hidden="false" customHeight="true" outlineLevel="0" collapsed="false">
      <c r="A33" s="8" t="s">
        <v>231</v>
      </c>
      <c r="B33" s="9"/>
      <c r="C33" s="9"/>
      <c r="D33" s="9"/>
      <c r="E33" s="9"/>
      <c r="F33" s="9"/>
    </row>
    <row r="34" customFormat="false" ht="15" hidden="false" customHeight="true" outlineLevel="0" collapsed="false">
      <c r="A34" s="25" t="s">
        <v>232</v>
      </c>
      <c r="B34" s="25"/>
      <c r="C34" s="25"/>
      <c r="D34" s="25"/>
      <c r="E34" s="25"/>
      <c r="F34" s="25"/>
    </row>
    <row r="35" customFormat="false" ht="15" hidden="false" customHeight="true" outlineLevel="0" collapsed="false">
      <c r="A35" s="8" t="s">
        <v>233</v>
      </c>
      <c r="B35" s="9"/>
      <c r="C35" s="9"/>
      <c r="D35" s="9"/>
      <c r="E35" s="9"/>
      <c r="F35" s="9"/>
    </row>
    <row r="36" customFormat="false" ht="15" hidden="false" customHeight="true" outlineLevel="0" collapsed="false">
      <c r="A36" s="8" t="s">
        <v>234</v>
      </c>
      <c r="B36" s="9"/>
      <c r="C36" s="9"/>
      <c r="D36" s="9"/>
      <c r="E36" s="9"/>
      <c r="F36" s="9"/>
    </row>
    <row r="37" customFormat="false" ht="15" hidden="false" customHeight="true" outlineLevel="0" collapsed="false">
      <c r="A37" s="8" t="s">
        <v>235</v>
      </c>
      <c r="B37" s="9"/>
      <c r="C37" s="9"/>
      <c r="D37" s="9"/>
      <c r="E37" s="9"/>
      <c r="F37" s="9"/>
    </row>
    <row r="38" customFormat="false" ht="15" hidden="false" customHeight="true" outlineLevel="0" collapsed="false">
      <c r="A38" s="8" t="s">
        <v>236</v>
      </c>
      <c r="B38" s="9"/>
      <c r="C38" s="9"/>
      <c r="D38" s="9"/>
      <c r="E38" s="9"/>
      <c r="F38" s="9"/>
    </row>
    <row r="39" customFormat="false" ht="15" hidden="false" customHeight="true" outlineLevel="0" collapsed="false">
      <c r="A39" s="25" t="s">
        <v>237</v>
      </c>
      <c r="B39" s="25"/>
      <c r="C39" s="25"/>
      <c r="D39" s="25"/>
      <c r="E39" s="25"/>
      <c r="F39" s="25"/>
    </row>
    <row r="40" customFormat="false" ht="15" hidden="false" customHeight="true" outlineLevel="0" collapsed="false">
      <c r="A40" s="8" t="s">
        <v>238</v>
      </c>
      <c r="B40" s="9"/>
      <c r="C40" s="9"/>
      <c r="D40" s="9"/>
      <c r="E40" s="9"/>
      <c r="F40" s="9"/>
    </row>
    <row r="41" customFormat="false" ht="15" hidden="false" customHeight="true" outlineLevel="0" collapsed="false">
      <c r="A41" s="8" t="s">
        <v>239</v>
      </c>
      <c r="B41" s="9"/>
      <c r="C41" s="9"/>
      <c r="D41" s="9"/>
      <c r="E41" s="9"/>
      <c r="F41" s="9"/>
    </row>
    <row r="42" customFormat="false" ht="15" hidden="false" customHeight="true" outlineLevel="0" collapsed="false">
      <c r="A42" s="8" t="s">
        <v>240</v>
      </c>
      <c r="B42" s="9"/>
      <c r="C42" s="9"/>
      <c r="D42" s="9"/>
      <c r="E42" s="9"/>
      <c r="F42" s="9"/>
    </row>
    <row r="43" customFormat="false" ht="15" hidden="false" customHeight="true" outlineLevel="0" collapsed="false">
      <c r="A43" s="8" t="s">
        <v>241</v>
      </c>
      <c r="B43" s="9"/>
      <c r="C43" s="9"/>
      <c r="D43" s="9"/>
      <c r="E43" s="9"/>
      <c r="F43" s="9"/>
    </row>
    <row r="44" customFormat="false" ht="15" hidden="false" customHeight="true" outlineLevel="0" collapsed="false">
      <c r="A44" s="25" t="s">
        <v>242</v>
      </c>
      <c r="B44" s="25"/>
      <c r="C44" s="25"/>
      <c r="D44" s="25"/>
      <c r="E44" s="25"/>
      <c r="F44" s="25"/>
    </row>
    <row r="45" customFormat="false" ht="15" hidden="false" customHeight="true" outlineLevel="0" collapsed="false">
      <c r="A45" s="8" t="s">
        <v>243</v>
      </c>
      <c r="B45" s="9"/>
      <c r="C45" s="9"/>
      <c r="D45" s="9"/>
      <c r="E45" s="9"/>
      <c r="F45" s="9"/>
    </row>
    <row r="46" customFormat="false" ht="15" hidden="false" customHeight="true" outlineLevel="0" collapsed="false">
      <c r="A46" s="8" t="s">
        <v>244</v>
      </c>
      <c r="B46" s="9"/>
      <c r="C46" s="9"/>
      <c r="D46" s="9"/>
      <c r="E46" s="9"/>
      <c r="F46" s="9"/>
    </row>
    <row r="47" customFormat="false" ht="15" hidden="false" customHeight="true" outlineLevel="0" collapsed="false">
      <c r="A47" s="8" t="s">
        <v>245</v>
      </c>
      <c r="B47" s="9"/>
      <c r="C47" s="9"/>
      <c r="D47" s="9"/>
      <c r="E47" s="9"/>
      <c r="F47" s="9"/>
    </row>
    <row r="48" customFormat="false" ht="15" hidden="false" customHeight="true" outlineLevel="0" collapsed="false">
      <c r="A48" s="8" t="s">
        <v>246</v>
      </c>
      <c r="B48" s="9"/>
      <c r="C48" s="9"/>
      <c r="D48" s="9"/>
      <c r="E48" s="9"/>
      <c r="F48" s="9"/>
    </row>
    <row r="49" customFormat="false" ht="15" hidden="false" customHeight="true" outlineLevel="0" collapsed="false">
      <c r="A49" s="8" t="s">
        <v>247</v>
      </c>
      <c r="B49" s="9"/>
      <c r="C49" s="9"/>
      <c r="D49" s="9"/>
      <c r="E49" s="9"/>
      <c r="F49" s="9"/>
    </row>
    <row r="50" customFormat="false" ht="15" hidden="false" customHeight="true" outlineLevel="0" collapsed="false">
      <c r="A50" s="8" t="s">
        <v>248</v>
      </c>
      <c r="B50" s="9"/>
      <c r="C50" s="9"/>
      <c r="D50" s="9"/>
      <c r="E50" s="9"/>
      <c r="F50" s="9"/>
    </row>
    <row r="52" customFormat="false" ht="15" hidden="false" customHeight="true" outlineLevel="0" collapsed="false">
      <c r="A52" s="7" t="s">
        <v>249</v>
      </c>
      <c r="B52" s="7"/>
      <c r="C52" s="7"/>
      <c r="D52" s="7"/>
      <c r="E52" s="7"/>
      <c r="F52" s="7"/>
    </row>
    <row r="53" customFormat="false" ht="34.5" hidden="false" customHeight="true" outlineLevel="0" collapsed="false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254</v>
      </c>
      <c r="F53" s="4" t="s">
        <v>255</v>
      </c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</row>
  </sheetData>
  <mergeCells count="13">
    <mergeCell ref="A1:F1"/>
    <mergeCell ref="B3:C3"/>
    <mergeCell ref="B4:C4"/>
    <mergeCell ref="B5:C5"/>
    <mergeCell ref="B6:C6"/>
    <mergeCell ref="B7:C7"/>
    <mergeCell ref="A10:F10"/>
    <mergeCell ref="A16:F16"/>
    <mergeCell ref="A26:F26"/>
    <mergeCell ref="A34:F34"/>
    <mergeCell ref="A39:F39"/>
    <mergeCell ref="A44:F44"/>
    <mergeCell ref="A52:F52"/>
  </mergeCells>
  <dataValidations count="2">
    <dataValidation allowBlank="true" errorStyle="stop" operator="between" showDropDown="false" showErrorMessage="false" showInputMessage="false" sqref="B11:B15 B17:B25 B27:B33 B35:B38 B40:B43 B45:B50" type="list">
      <formula1>"✓,✗,N/A"</formula1>
      <formula2>0</formula2>
    </dataValidation>
    <dataValidation allowBlank="true" errorStyle="stop" operator="between" showDropDown="false" showErrorMessage="false" showInputMessage="false" sqref="D11:D15 D17:D25 D27:D33 D35:D38 D40:D43 D45:D5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1" min="10" style="1" width="12"/>
    <col collapsed="false" customWidth="true" hidden="false" outlineLevel="0" max="12" min="12" style="1" width="22"/>
  </cols>
  <sheetData>
    <row r="1" customFormat="false" ht="17.25" hidden="false" customHeight="true" outlineLevel="0" collapsed="false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257</v>
      </c>
    </row>
    <row r="3" customFormat="false" ht="34.5" hidden="false" customHeight="true" outlineLevel="0" collapsed="false">
      <c r="A3" s="4" t="s">
        <v>62</v>
      </c>
      <c r="B3" s="4" t="s">
        <v>96</v>
      </c>
      <c r="C3" s="4" t="s">
        <v>258</v>
      </c>
      <c r="D3" s="4" t="s">
        <v>259</v>
      </c>
      <c r="E3" s="4" t="s">
        <v>260</v>
      </c>
      <c r="F3" s="4" t="s">
        <v>261</v>
      </c>
      <c r="G3" s="4" t="s">
        <v>262</v>
      </c>
      <c r="H3" s="4" t="s">
        <v>263</v>
      </c>
      <c r="I3" s="4" t="s">
        <v>264</v>
      </c>
      <c r="J3" s="4" t="s">
        <v>265</v>
      </c>
      <c r="K3" s="4" t="s">
        <v>266</v>
      </c>
      <c r="L3" s="4" t="s">
        <v>122</v>
      </c>
    </row>
    <row r="4" customFormat="false" ht="15" hidden="false" customHeight="true" outlineLevel="0" collapsed="false">
      <c r="A4" s="15" t="n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true" outlineLevel="0" collapsed="false">
      <c r="A5" s="15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customFormat="false" ht="15" hidden="false" customHeight="true" outlineLevel="0" collapsed="false">
      <c r="A6" s="15" t="n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5" hidden="false" customHeight="true" outlineLevel="0" collapsed="false">
      <c r="A7" s="15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customFormat="false" ht="15" hidden="false" customHeight="true" outlineLevel="0" collapsed="false">
      <c r="A8" s="15" t="n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customFormat="false" ht="15" hidden="false" customHeight="true" outlineLevel="0" collapsed="false">
      <c r="A9" s="15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customFormat="false" ht="15" hidden="false" customHeight="true" outlineLevel="0" collapsed="false">
      <c r="A10" s="15" t="n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5" hidden="false" customHeight="true" outlineLevel="0" collapsed="false">
      <c r="A11" s="15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true" outlineLevel="0" collapsed="false">
      <c r="A12" s="15" t="n">
        <v>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5" hidden="false" customHeight="true" outlineLevel="0" collapsed="false">
      <c r="A13" s="15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true" outlineLevel="0" collapsed="false">
      <c r="A14" s="15" t="n">
        <v>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true" outlineLevel="0" collapsed="false">
      <c r="A15" s="15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true" outlineLevel="0" collapsed="false">
      <c r="A16" s="15" t="n">
        <v>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true" outlineLevel="0" collapsed="false">
      <c r="A17" s="15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15" t="n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15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15" t="n">
        <v>17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true" outlineLevel="0" collapsed="false">
      <c r="A21" s="15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A22" s="15" t="n">
        <v>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5" hidden="false" customHeight="true" outlineLevel="0" collapsed="false">
      <c r="A23" s="15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true" outlineLevel="0" collapsed="false">
      <c r="A24" s="15" t="n">
        <v>21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true" outlineLevel="0" collapsed="false">
      <c r="A25" s="15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A26" s="15" t="n">
        <v>23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true" outlineLevel="0" collapsed="false">
      <c r="A27" s="15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true" outlineLevel="0" collapsed="false">
      <c r="A28" s="15" t="n">
        <v>25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30" customFormat="false" ht="279.75" hidden="false" customHeight="true" outlineLevel="0" collapsed="false">
      <c r="A30" s="19" t="s">
        <v>267</v>
      </c>
    </row>
    <row r="31" customFormat="false" ht="15" hidden="false" customHeight="true" outlineLevel="0" collapsed="false">
      <c r="B31" s="26" t="s">
        <v>268</v>
      </c>
      <c r="C31" s="26" t="s">
        <v>269</v>
      </c>
      <c r="H31" s="26" t="s">
        <v>270</v>
      </c>
    </row>
    <row r="32" customFormat="false" ht="15" hidden="false" customHeight="true" outlineLevel="0" collapsed="false">
      <c r="B32" s="26" t="s">
        <v>271</v>
      </c>
      <c r="C32" s="26" t="s">
        <v>272</v>
      </c>
      <c r="H32" s="26" t="s">
        <v>273</v>
      </c>
    </row>
    <row r="33" customFormat="false" ht="15" hidden="false" customHeight="true" outlineLevel="0" collapsed="false">
      <c r="B33" s="26" t="s">
        <v>274</v>
      </c>
      <c r="C33" s="26" t="s">
        <v>269</v>
      </c>
      <c r="H33" s="26" t="s">
        <v>275</v>
      </c>
    </row>
    <row r="34" customFormat="false" ht="15" hidden="false" customHeight="true" outlineLevel="0" collapsed="false">
      <c r="B34" s="26" t="s">
        <v>276</v>
      </c>
      <c r="C34" s="26" t="s">
        <v>269</v>
      </c>
      <c r="H34" s="26" t="s">
        <v>277</v>
      </c>
    </row>
    <row r="35" customFormat="false" ht="15" hidden="false" customHeight="true" outlineLevel="0" collapsed="false">
      <c r="B35" s="26" t="s">
        <v>278</v>
      </c>
      <c r="C35" s="26" t="s">
        <v>269</v>
      </c>
      <c r="H35" s="26" t="s">
        <v>279</v>
      </c>
    </row>
  </sheetData>
  <mergeCells count="1">
    <mergeCell ref="A1:L1"/>
  </mergeCells>
  <dataValidations count="1">
    <dataValidation allowBlank="true" errorStyle="stop" operator="between" showDropDown="false" showErrorMessage="false" showInputMessage="false" sqref="C4:C28" type="list">
      <formula1>"Fabricante,Distribuidor nacional,Distribuidor internacional,Fabricante+Distribuidor"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2026-02-12T10:21:53Z</dcterms:created>
  <dc:creator>openpyxl</dc:creator>
  <dc:description/>
  <dc:language>en-US</dc:language>
  <cp:lastModifiedBy/>
  <dcterms:modified xsi:type="dcterms:W3CDTF">2026-02-12T10:22:10Z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